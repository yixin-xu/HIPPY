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x18392\Desktop\HIPPY\semi Markov data\"/>
    </mc:Choice>
  </mc:AlternateContent>
  <xr:revisionPtr revIDLastSave="0" documentId="13_ncr:1_{F503E1E5-0934-463F-9558-9D4AE3EAF5A0}" xr6:coauthVersionLast="47" xr6:coauthVersionMax="47" xr10:uidLastSave="{00000000-0000-0000-0000-000000000000}"/>
  <bookViews>
    <workbookView xWindow="-120" yWindow="-120" windowWidth="24240" windowHeight="13020" xr2:uid="{572F39DE-F9E2-4A72-B215-210C7B7DF711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B14" i="3"/>
  <c r="H19" i="3" l="1"/>
  <c r="E19" i="3"/>
  <c r="B19" i="3"/>
  <c r="H18" i="3"/>
  <c r="E18" i="3"/>
  <c r="B18" i="3"/>
  <c r="H17" i="3"/>
  <c r="E17" i="3"/>
  <c r="B17" i="3"/>
  <c r="H16" i="3"/>
  <c r="E16" i="3"/>
  <c r="B16" i="3"/>
  <c r="H15" i="3"/>
  <c r="E15" i="3"/>
  <c r="H14" i="3"/>
  <c r="E14" i="3"/>
  <c r="J13" i="3"/>
  <c r="I13" i="3"/>
  <c r="H13" i="3"/>
  <c r="G13" i="3"/>
  <c r="F13" i="3"/>
  <c r="E13" i="3"/>
  <c r="D13" i="3"/>
  <c r="C13" i="3"/>
  <c r="B13" i="3"/>
  <c r="M28" i="3"/>
  <c r="L28" i="3"/>
  <c r="K28" i="3"/>
  <c r="M27" i="3"/>
  <c r="L27" i="3"/>
  <c r="K27" i="3"/>
  <c r="M26" i="3"/>
  <c r="L26" i="3"/>
  <c r="K26" i="3"/>
  <c r="M25" i="3"/>
  <c r="L25" i="3"/>
  <c r="K25" i="3"/>
  <c r="M24" i="3"/>
  <c r="L24" i="3"/>
  <c r="K24" i="3"/>
  <c r="M23" i="3"/>
  <c r="L23" i="3"/>
  <c r="K23" i="3"/>
  <c r="S8" i="3"/>
  <c r="R8" i="3"/>
  <c r="Q8" i="3"/>
  <c r="M8" i="3"/>
  <c r="L8" i="3"/>
  <c r="K8" i="3"/>
  <c r="S7" i="3"/>
  <c r="R7" i="3"/>
  <c r="Q7" i="3"/>
  <c r="M7" i="3"/>
  <c r="L7" i="3"/>
  <c r="K7" i="3"/>
  <c r="S6" i="3"/>
  <c r="R6" i="3"/>
  <c r="Q6" i="3"/>
  <c r="M6" i="3"/>
  <c r="L6" i="3"/>
  <c r="K6" i="3"/>
  <c r="S5" i="3"/>
  <c r="R5" i="3"/>
  <c r="Q5" i="3"/>
  <c r="M5" i="3"/>
  <c r="J16" i="3" s="1"/>
  <c r="L5" i="3"/>
  <c r="K5" i="3"/>
  <c r="S4" i="3"/>
  <c r="R4" i="3"/>
  <c r="Q4" i="3"/>
  <c r="M4" i="3"/>
  <c r="L4" i="3"/>
  <c r="K4" i="3"/>
  <c r="S3" i="3"/>
  <c r="R3" i="3"/>
  <c r="Q3" i="3"/>
  <c r="M3" i="3"/>
  <c r="L3" i="3"/>
  <c r="K3" i="3"/>
  <c r="M2" i="3"/>
  <c r="L2" i="3"/>
  <c r="K2" i="3"/>
  <c r="K16" i="2"/>
  <c r="L16" i="2"/>
  <c r="O18" i="2" s="1"/>
  <c r="U18" i="2" s="1"/>
  <c r="M16" i="2"/>
  <c r="K17" i="2"/>
  <c r="L17" i="2"/>
  <c r="M17" i="2"/>
  <c r="P17" i="2" s="1"/>
  <c r="V17" i="2" s="1"/>
  <c r="N17" i="2"/>
  <c r="T17" i="2" s="1"/>
  <c r="O17" i="2"/>
  <c r="U17" i="2" s="1"/>
  <c r="Q17" i="2"/>
  <c r="R17" i="2"/>
  <c r="S17" i="2"/>
  <c r="K18" i="2"/>
  <c r="N18" i="2" s="1"/>
  <c r="T18" i="2" s="1"/>
  <c r="L18" i="2"/>
  <c r="M18" i="2"/>
  <c r="P18" i="2"/>
  <c r="V18" i="2" s="1"/>
  <c r="Q18" i="2"/>
  <c r="R18" i="2"/>
  <c r="S18" i="2"/>
  <c r="K19" i="2"/>
  <c r="L19" i="2"/>
  <c r="M19" i="2"/>
  <c r="P19" i="2" s="1"/>
  <c r="V19" i="2" s="1"/>
  <c r="N19" i="2"/>
  <c r="T19" i="2" s="1"/>
  <c r="O19" i="2"/>
  <c r="U19" i="2" s="1"/>
  <c r="Q19" i="2"/>
  <c r="R19" i="2"/>
  <c r="S19" i="2"/>
  <c r="K20" i="2"/>
  <c r="N20" i="2" s="1"/>
  <c r="T20" i="2" s="1"/>
  <c r="L20" i="2"/>
  <c r="M20" i="2"/>
  <c r="P20" i="2"/>
  <c r="V20" i="2" s="1"/>
  <c r="Q20" i="2"/>
  <c r="R20" i="2"/>
  <c r="S20" i="2"/>
  <c r="K21" i="2"/>
  <c r="L21" i="2"/>
  <c r="M21" i="2"/>
  <c r="P21" i="2" s="1"/>
  <c r="V21" i="2" s="1"/>
  <c r="N21" i="2"/>
  <c r="T21" i="2" s="1"/>
  <c r="O21" i="2"/>
  <c r="U21" i="2" s="1"/>
  <c r="Q21" i="2"/>
  <c r="R21" i="2"/>
  <c r="S21" i="2"/>
  <c r="K22" i="2"/>
  <c r="N22" i="2" s="1"/>
  <c r="T22" i="2" s="1"/>
  <c r="L22" i="2"/>
  <c r="M22" i="2"/>
  <c r="P22" i="2"/>
  <c r="V22" i="2" s="1"/>
  <c r="Q22" i="2"/>
  <c r="R22" i="2"/>
  <c r="S22" i="2"/>
  <c r="J15" i="3" l="1"/>
  <c r="O6" i="3"/>
  <c r="U6" i="3" s="1"/>
  <c r="C14" i="3"/>
  <c r="N3" i="3"/>
  <c r="T3" i="3" s="1"/>
  <c r="P4" i="3"/>
  <c r="V4" i="3" s="1"/>
  <c r="G14" i="3"/>
  <c r="C17" i="3"/>
  <c r="J19" i="3"/>
  <c r="N6" i="3"/>
  <c r="T6" i="3" s="1"/>
  <c r="J18" i="3"/>
  <c r="D15" i="3"/>
  <c r="J17" i="3"/>
  <c r="D17" i="3"/>
  <c r="F14" i="3"/>
  <c r="C16" i="3"/>
  <c r="F17" i="3"/>
  <c r="C19" i="3"/>
  <c r="N5" i="3"/>
  <c r="T5" i="3" s="1"/>
  <c r="P6" i="3"/>
  <c r="V6" i="3" s="1"/>
  <c r="D16" i="3"/>
  <c r="G19" i="3"/>
  <c r="N4" i="3"/>
  <c r="T4" i="3" s="1"/>
  <c r="J14" i="3"/>
  <c r="F16" i="3"/>
  <c r="I17" i="3"/>
  <c r="O4" i="3"/>
  <c r="U4" i="3" s="1"/>
  <c r="N8" i="3"/>
  <c r="T8" i="3" s="1"/>
  <c r="I16" i="3"/>
  <c r="I19" i="3"/>
  <c r="O8" i="3"/>
  <c r="U8" i="3" s="1"/>
  <c r="C15" i="3"/>
  <c r="D18" i="3"/>
  <c r="N7" i="3"/>
  <c r="T7" i="3" s="1"/>
  <c r="P8" i="3"/>
  <c r="V8" i="3" s="1"/>
  <c r="G18" i="3"/>
  <c r="P3" i="3"/>
  <c r="V3" i="3" s="1"/>
  <c r="D14" i="3"/>
  <c r="F15" i="3"/>
  <c r="I18" i="3"/>
  <c r="G15" i="3"/>
  <c r="I14" i="3"/>
  <c r="G16" i="3"/>
  <c r="D19" i="3"/>
  <c r="I15" i="3"/>
  <c r="G17" i="3"/>
  <c r="F18" i="3"/>
  <c r="C18" i="3"/>
  <c r="F19" i="3"/>
  <c r="O7" i="3"/>
  <c r="U7" i="3" s="1"/>
  <c r="P7" i="3"/>
  <c r="V7" i="3" s="1"/>
  <c r="O5" i="3"/>
  <c r="U5" i="3" s="1"/>
  <c r="P5" i="3"/>
  <c r="V5" i="3" s="1"/>
  <c r="O3" i="3"/>
  <c r="U3" i="3" s="1"/>
  <c r="O22" i="2"/>
  <c r="U22" i="2" s="1"/>
  <c r="O20" i="2"/>
  <c r="U20" i="2" s="1"/>
</calcChain>
</file>

<file path=xl/sharedStrings.xml><?xml version="1.0" encoding="utf-8"?>
<sst xmlns="http://schemas.openxmlformats.org/spreadsheetml/2006/main" count="137" uniqueCount="40">
  <si>
    <t>treatment</t>
  </si>
  <si>
    <t xml:space="preserve">    Cem CR_Fix Mod</t>
  </si>
  <si>
    <t xml:space="preserve">    Cem CR_Mob Mod</t>
  </si>
  <si>
    <t xml:space="preserve">    Cem PS_Fix Mod</t>
  </si>
  <si>
    <t xml:space="preserve">    Cem PS_Mob Mod</t>
  </si>
  <si>
    <t xml:space="preserve">    Unc CR_Fix Mod</t>
  </si>
  <si>
    <t xml:space="preserve">    Unc CR_Mob Mod</t>
  </si>
  <si>
    <t xml:space="preserve">    Hyb CR_Fix Mod</t>
  </si>
  <si>
    <t>mean1</t>
  </si>
  <si>
    <t>LL1</t>
  </si>
  <si>
    <t>UL1</t>
  </si>
  <si>
    <t>mean2</t>
  </si>
  <si>
    <t>LL2</t>
  </si>
  <si>
    <t>UL2</t>
  </si>
  <si>
    <t>mean3</t>
  </si>
  <si>
    <t>LL3</t>
  </si>
  <si>
    <t>UL3</t>
  </si>
  <si>
    <t>early</t>
  </si>
  <si>
    <t>average</t>
  </si>
  <si>
    <t>rank</t>
  </si>
  <si>
    <t>implant cost</t>
  </si>
  <si>
    <t>SE1</t>
  </si>
  <si>
    <t>SE2</t>
  </si>
  <si>
    <t>SE3</t>
  </si>
  <si>
    <t>SE1(LHR)</t>
  </si>
  <si>
    <t>SE2(LHR)</t>
  </si>
  <si>
    <t>SE3(LHR)</t>
  </si>
  <si>
    <t>mean[,1]</t>
  </si>
  <si>
    <t>mean[,2]</t>
  </si>
  <si>
    <t>mean[,3]</t>
  </si>
  <si>
    <t>precision[,1]</t>
  </si>
  <si>
    <t>precision[,2]</t>
  </si>
  <si>
    <t>precision[,3]</t>
  </si>
  <si>
    <t>NA</t>
  </si>
  <si>
    <t>LHR1</t>
  </si>
  <si>
    <t>LHR2</t>
  </si>
  <si>
    <t>LHR3</t>
  </si>
  <si>
    <t>Cemented</t>
  </si>
  <si>
    <t>Uncemented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</si>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</sst>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8E26-A7F5-4AE0-BE40-8296684C2663}">
  <dimension ref="A1:J4"/>
  <sheetViews>
    <sheetView tabSelected="1" workbookViewId="0">
      <selection activeCell="L14" sqref="L14"/>
    </sheetView>
  </sheetViews>
  <sheetFormatPr defaultRowHeight="15" x14ac:dyDescent="0.25"/>
  <cols>
    <col min="1" max="1" width="20.5703125" customWidth="1"/>
  </cols>
  <sheetData>
    <row r="1" spans="1:10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25">
      <c r="A2" t="s">
        <v>37</v>
      </c>
      <c r="B2">
        <v>-5.2679999999999998</v>
      </c>
      <c r="C2">
        <v>-5.3890000000000002</v>
      </c>
      <c r="D2">
        <v>-5.1470000000000002</v>
      </c>
      <c r="E2">
        <v>-5.6269999999999998</v>
      </c>
      <c r="F2">
        <v>-5.78</v>
      </c>
      <c r="G2">
        <v>-5.4740000000000002</v>
      </c>
      <c r="H2">
        <v>-6.1740000000000004</v>
      </c>
      <c r="I2">
        <v>-6.6239999999999997</v>
      </c>
      <c r="J2">
        <v>-5.7240000000000002</v>
      </c>
    </row>
    <row r="3" spans="1:10" x14ac:dyDescent="0.25">
      <c r="A3" t="s">
        <v>38</v>
      </c>
      <c r="B3">
        <v>-4.165</v>
      </c>
      <c r="C3">
        <v>-4.2910000000000004</v>
      </c>
      <c r="D3">
        <v>-4.0389999999999997</v>
      </c>
      <c r="E3">
        <v>-5.6219999999999999</v>
      </c>
      <c r="F3">
        <v>-5.7060000000000004</v>
      </c>
      <c r="G3">
        <v>-5.5380000000000003</v>
      </c>
      <c r="H3">
        <v>-5.6539999999999999</v>
      </c>
      <c r="I3">
        <v>-5.9180000000000001</v>
      </c>
      <c r="J3">
        <v>-5.39</v>
      </c>
    </row>
    <row r="4" spans="1:10" x14ac:dyDescent="0.25">
      <c r="A4" t="s">
        <v>39</v>
      </c>
      <c r="B4">
        <v>-5.4260000000000002</v>
      </c>
      <c r="C4">
        <v>-5.6269999999999998</v>
      </c>
      <c r="D4">
        <v>-5.2249999999999996</v>
      </c>
      <c r="E4">
        <v>-5.4429999999999996</v>
      </c>
      <c r="F4">
        <v>-5.5880000000000001</v>
      </c>
      <c r="G4">
        <v>-5.298</v>
      </c>
      <c r="H4">
        <v>-6.327</v>
      </c>
      <c r="I4">
        <v>-6.8140000000000001</v>
      </c>
      <c r="J4">
        <v>-5.84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B36B4-B19D-4125-B455-D29AB00486AF}">
  <dimension ref="A1:V22"/>
  <sheetViews>
    <sheetView topLeftCell="A4" workbookViewId="0">
      <selection activeCell="A15" sqref="A15:XFD22"/>
    </sheetView>
  </sheetViews>
  <sheetFormatPr defaultRowHeight="15" x14ac:dyDescent="0.25"/>
  <sheetData>
    <row r="1" spans="1:22" x14ac:dyDescent="0.25">
      <c r="A1" t="s">
        <v>17</v>
      </c>
      <c r="B1" t="s">
        <v>19</v>
      </c>
      <c r="C1" t="s">
        <v>18</v>
      </c>
      <c r="D1" t="s">
        <v>19</v>
      </c>
      <c r="E1" t="s">
        <v>20</v>
      </c>
    </row>
    <row r="2" spans="1:22" x14ac:dyDescent="0.25">
      <c r="A2">
        <v>2.0305E-2</v>
      </c>
      <c r="C2">
        <v>0.13068211818181819</v>
      </c>
    </row>
    <row r="3" spans="1:22" x14ac:dyDescent="0.25">
      <c r="A3">
        <v>1.08629E-2</v>
      </c>
      <c r="B3">
        <v>2</v>
      </c>
      <c r="C3">
        <v>2.5526599999999997E-2</v>
      </c>
      <c r="D3">
        <v>2</v>
      </c>
      <c r="E3">
        <v>950.21</v>
      </c>
    </row>
    <row r="4" spans="1:22" x14ac:dyDescent="0.25">
      <c r="A4">
        <v>1.48699E-2</v>
      </c>
      <c r="C4">
        <v>3.1352600000000001E-2</v>
      </c>
    </row>
    <row r="5" spans="1:22" x14ac:dyDescent="0.25">
      <c r="A5">
        <v>1.23418E-2</v>
      </c>
      <c r="C5">
        <v>3.3280799999999999E-2</v>
      </c>
    </row>
    <row r="6" spans="1:22" x14ac:dyDescent="0.25">
      <c r="A6">
        <v>1.4871799999999999E-2</v>
      </c>
      <c r="C6">
        <v>2.6858199999999999E-2</v>
      </c>
    </row>
    <row r="7" spans="1:22" x14ac:dyDescent="0.25">
      <c r="A7">
        <v>1.62874E-2</v>
      </c>
      <c r="C7">
        <v>0.1256564</v>
      </c>
    </row>
    <row r="8" spans="1:22" x14ac:dyDescent="0.25">
      <c r="A8">
        <v>1.4983399999999999E-2</v>
      </c>
      <c r="C8">
        <v>3.1521800000000003E-2</v>
      </c>
    </row>
    <row r="9" spans="1:22" x14ac:dyDescent="0.25">
      <c r="A9">
        <v>1.40999E-2</v>
      </c>
      <c r="C9">
        <v>2.7514799999999999E-2</v>
      </c>
    </row>
    <row r="10" spans="1:22" x14ac:dyDescent="0.25">
      <c r="A10">
        <v>7.6997000000000003E-3</v>
      </c>
      <c r="C10">
        <v>3.2154000000000002E-2</v>
      </c>
    </row>
    <row r="11" spans="1:22" x14ac:dyDescent="0.25">
      <c r="A11">
        <v>1.17348E-2</v>
      </c>
      <c r="C11">
        <v>2.7995700000000002E-2</v>
      </c>
    </row>
    <row r="12" spans="1:22" x14ac:dyDescent="0.25">
      <c r="A12">
        <v>1.03304E-2</v>
      </c>
      <c r="B12">
        <v>1</v>
      </c>
      <c r="C12">
        <v>2.2527000000000002E-2</v>
      </c>
      <c r="D12">
        <v>1</v>
      </c>
      <c r="E12" s="1">
        <v>1152.57</v>
      </c>
    </row>
    <row r="13" spans="1:22" x14ac:dyDescent="0.25">
      <c r="A13">
        <v>1.81663E-2</v>
      </c>
      <c r="C13">
        <v>5.5733500000000005E-2</v>
      </c>
    </row>
    <row r="15" spans="1:22" x14ac:dyDescent="0.25"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  <c r="K15" t="s">
        <v>21</v>
      </c>
      <c r="L15" t="s">
        <v>22</v>
      </c>
      <c r="M15" t="s">
        <v>23</v>
      </c>
      <c r="N15" t="s">
        <v>24</v>
      </c>
      <c r="O15" t="s">
        <v>25</v>
      </c>
      <c r="P15" t="s">
        <v>26</v>
      </c>
      <c r="Q15" s="3" t="s">
        <v>27</v>
      </c>
      <c r="R15" s="3" t="s">
        <v>28</v>
      </c>
      <c r="S15" s="3" t="s">
        <v>29</v>
      </c>
      <c r="T15" s="3" t="s">
        <v>30</v>
      </c>
      <c r="U15" s="3" t="s">
        <v>31</v>
      </c>
      <c r="V15" s="3" t="s">
        <v>32</v>
      </c>
    </row>
    <row r="16" spans="1:22" x14ac:dyDescent="0.25">
      <c r="A16" t="s">
        <v>1</v>
      </c>
      <c r="B16" s="2">
        <v>1.08629E-2</v>
      </c>
      <c r="C16" s="2">
        <v>9.8688000000000005E-3</v>
      </c>
      <c r="D16" s="2">
        <v>1.1957199999999999E-2</v>
      </c>
      <c r="E16" s="2">
        <v>6.7387999999999997E-3</v>
      </c>
      <c r="F16" s="2">
        <v>5.9952E-3</v>
      </c>
      <c r="G16" s="2">
        <v>7.5745999999999999E-3</v>
      </c>
      <c r="H16" s="2">
        <v>7.9249000000000003E-3</v>
      </c>
      <c r="I16" s="2">
        <v>5.9170000000000004E-3</v>
      </c>
      <c r="J16" s="2">
        <v>1.06141E-2</v>
      </c>
      <c r="K16">
        <f t="shared" ref="K16:K22" si="0">(D16-C16)/2*1.96</f>
        <v>2.0466319999999988E-3</v>
      </c>
      <c r="L16">
        <f t="shared" ref="L16:L22" si="1">(G16-F16)/2*1.96</f>
        <v>1.547812E-3</v>
      </c>
      <c r="M16">
        <f t="shared" ref="M16:M22" si="2">(J16-I16)/2*1.96</f>
        <v>4.6031579999999996E-3</v>
      </c>
      <c r="Q16" s="3" t="s">
        <v>33</v>
      </c>
      <c r="R16" s="3" t="s">
        <v>33</v>
      </c>
      <c r="S16" s="3" t="s">
        <v>33</v>
      </c>
      <c r="T16" s="3" t="s">
        <v>33</v>
      </c>
      <c r="U16" s="3" t="s">
        <v>33</v>
      </c>
      <c r="V16" s="3" t="s">
        <v>33</v>
      </c>
    </row>
    <row r="17" spans="1:22" x14ac:dyDescent="0.25">
      <c r="A17" t="s">
        <v>2</v>
      </c>
      <c r="B17">
        <v>1.48699E-2</v>
      </c>
      <c r="C17">
        <v>1.12701E-2</v>
      </c>
      <c r="D17">
        <v>1.9619399999999999E-2</v>
      </c>
      <c r="E17">
        <v>7.3686000000000003E-3</v>
      </c>
      <c r="F17">
        <v>5.4050000000000001E-3</v>
      </c>
      <c r="G17">
        <v>1.0045500000000001E-2</v>
      </c>
      <c r="H17">
        <v>9.1141E-3</v>
      </c>
      <c r="I17">
        <v>4.7422000000000002E-3</v>
      </c>
      <c r="J17">
        <v>1.75166E-2</v>
      </c>
      <c r="K17">
        <f t="shared" si="0"/>
        <v>8.1823139999999978E-3</v>
      </c>
      <c r="L17">
        <f t="shared" si="1"/>
        <v>4.5476900000000001E-3</v>
      </c>
      <c r="M17">
        <f t="shared" si="2"/>
        <v>1.2518912E-2</v>
      </c>
      <c r="N17">
        <f>SQRT(K17^2+K16^2)</f>
        <v>8.4343917941971346E-3</v>
      </c>
      <c r="O17">
        <f>SQRT(L17^2+L16^2)</f>
        <v>4.8038740952947552E-3</v>
      </c>
      <c r="P17">
        <f>SQRT(M17^2+M16^2)</f>
        <v>1.3338374010227333E-2</v>
      </c>
      <c r="Q17" s="3">
        <f>LN(B17)-LN(B16)</f>
        <v>0.31398572165080374</v>
      </c>
      <c r="R17" s="3">
        <f>LN(E17)-LN(E16)</f>
        <v>8.9345861332344789E-2</v>
      </c>
      <c r="S17" s="3">
        <f>LN(H17)-LN(H16)</f>
        <v>0.13981296352508199</v>
      </c>
      <c r="T17" s="3">
        <f t="shared" ref="T17:V22" si="3">1/(N17^2)</f>
        <v>14056.993953612526</v>
      </c>
      <c r="U17" s="3">
        <f t="shared" si="3"/>
        <v>43332.801465838857</v>
      </c>
      <c r="V17" s="3">
        <f t="shared" si="3"/>
        <v>5620.7493394707481</v>
      </c>
    </row>
    <row r="18" spans="1:22" x14ac:dyDescent="0.25">
      <c r="A18" t="s">
        <v>3</v>
      </c>
      <c r="B18">
        <v>1.23418E-2</v>
      </c>
      <c r="C18">
        <v>1.0559900000000001E-2</v>
      </c>
      <c r="D18">
        <v>1.4424299999999999E-2</v>
      </c>
      <c r="E18">
        <v>9.1800000000000007E-3</v>
      </c>
      <c r="F18">
        <v>7.7549999999999997E-3</v>
      </c>
      <c r="G18">
        <v>1.0866799999999999E-2</v>
      </c>
      <c r="H18">
        <v>1.1759E-2</v>
      </c>
      <c r="I18">
        <v>7.8817000000000002E-3</v>
      </c>
      <c r="J18">
        <v>1.7543699999999999E-2</v>
      </c>
      <c r="K18">
        <f t="shared" si="0"/>
        <v>3.7871119999999987E-3</v>
      </c>
      <c r="L18">
        <f t="shared" si="1"/>
        <v>3.0495639999999994E-3</v>
      </c>
      <c r="M18">
        <f t="shared" si="2"/>
        <v>9.4687599999999979E-3</v>
      </c>
      <c r="N18">
        <f>SQRT(K18^2+K16^2)</f>
        <v>4.3047554917751123E-3</v>
      </c>
      <c r="O18">
        <f>SQRT(L18^2+L16^2)</f>
        <v>3.419877567609694E-3</v>
      </c>
      <c r="P18">
        <f>SQRT(M18^2+M16^2)</f>
        <v>1.0528365471931717E-2</v>
      </c>
      <c r="Q18" s="3">
        <f>LN(B18)-LN(B16)</f>
        <v>0.12763856108945237</v>
      </c>
      <c r="R18" s="3">
        <f>LN(E18)-LN(E16)</f>
        <v>0.30914533710248726</v>
      </c>
      <c r="S18" s="3">
        <f>LN(H18)-LN(H16)</f>
        <v>0.39460920345407491</v>
      </c>
      <c r="T18" s="3">
        <f t="shared" si="3"/>
        <v>53963.861935623805</v>
      </c>
      <c r="U18" s="3">
        <f t="shared" si="3"/>
        <v>85502.513742172348</v>
      </c>
      <c r="V18" s="3">
        <f t="shared" si="3"/>
        <v>9021.4863333092799</v>
      </c>
    </row>
    <row r="19" spans="1:22" x14ac:dyDescent="0.25">
      <c r="A19" t="s">
        <v>4</v>
      </c>
      <c r="B19">
        <v>1.4871799999999999E-2</v>
      </c>
      <c r="C19">
        <v>1.0049000000000001E-2</v>
      </c>
      <c r="D19">
        <v>2.20091E-2</v>
      </c>
      <c r="E19">
        <v>6.6731000000000004E-3</v>
      </c>
      <c r="F19">
        <v>4.2564999999999999E-3</v>
      </c>
      <c r="G19">
        <v>1.04619E-2</v>
      </c>
      <c r="H19">
        <v>5.3133E-3</v>
      </c>
      <c r="I19">
        <v>1.7136E-3</v>
      </c>
      <c r="J19">
        <v>1.6474200000000001E-2</v>
      </c>
      <c r="K19">
        <f t="shared" si="0"/>
        <v>1.1720897999999999E-2</v>
      </c>
      <c r="L19">
        <f t="shared" si="1"/>
        <v>6.0812919999999994E-3</v>
      </c>
      <c r="M19">
        <f t="shared" si="2"/>
        <v>1.4465388000000003E-2</v>
      </c>
      <c r="N19">
        <f>SQRT(K19^2+K16^2)</f>
        <v>1.189824157049385E-2</v>
      </c>
      <c r="O19">
        <f>SQRT(L19^2+L16^2)</f>
        <v>6.2751760434754337E-3</v>
      </c>
      <c r="P19">
        <f>SQRT(M19^2+M16^2)</f>
        <v>1.518013549226449E-2</v>
      </c>
      <c r="Q19" s="3">
        <f>LN(B19)-LN(B16)</f>
        <v>0.31411348838926134</v>
      </c>
      <c r="R19" s="3">
        <f>LN(E19)-LN(E16)</f>
        <v>-9.7973479572033284E-3</v>
      </c>
      <c r="S19" s="3">
        <f>LN(H19)-LN(H16)</f>
        <v>-0.399796590238644</v>
      </c>
      <c r="T19" s="3">
        <f t="shared" si="3"/>
        <v>7063.7356111087711</v>
      </c>
      <c r="U19" s="3">
        <f t="shared" si="3"/>
        <v>25394.997359073655</v>
      </c>
      <c r="V19" s="3">
        <f t="shared" si="3"/>
        <v>4339.590043851279</v>
      </c>
    </row>
    <row r="20" spans="1:22" x14ac:dyDescent="0.25">
      <c r="A20" t="s">
        <v>5</v>
      </c>
      <c r="B20">
        <v>1.4983399999999999E-2</v>
      </c>
      <c r="C20">
        <v>1.0345399999999999E-2</v>
      </c>
      <c r="D20">
        <v>2.17006E-2</v>
      </c>
      <c r="E20">
        <v>7.1247000000000003E-3</v>
      </c>
      <c r="F20">
        <v>4.5444999999999999E-3</v>
      </c>
      <c r="G20">
        <v>1.1169800000000001E-2</v>
      </c>
      <c r="H20">
        <v>9.4137000000000005E-3</v>
      </c>
      <c r="I20">
        <v>3.9183000000000004E-3</v>
      </c>
      <c r="J20">
        <v>2.2616799999999999E-2</v>
      </c>
      <c r="K20">
        <f t="shared" si="0"/>
        <v>1.1128096000000001E-2</v>
      </c>
      <c r="L20">
        <f t="shared" si="1"/>
        <v>6.4927940000000005E-3</v>
      </c>
      <c r="M20">
        <f t="shared" si="2"/>
        <v>1.8324529999999999E-2</v>
      </c>
      <c r="N20">
        <f>SQRT(K20^2+K16^2)</f>
        <v>1.1314734779421036E-2</v>
      </c>
      <c r="O20">
        <f>SQRT(L20^2+L16^2)</f>
        <v>6.6747356437375114E-3</v>
      </c>
      <c r="P20">
        <f>SQRT(M20^2+M16^2)</f>
        <v>1.8893847233791849E-2</v>
      </c>
      <c r="Q20" s="3">
        <f>LN(B20)-LN(B16)</f>
        <v>0.3215896077787459</v>
      </c>
      <c r="R20" s="3">
        <f>LN(E20)-LN(E16)</f>
        <v>5.5685752475192807E-2</v>
      </c>
      <c r="S20" s="3">
        <f>LN(H20)-LN(H16)</f>
        <v>0.17215637365248515</v>
      </c>
      <c r="T20" s="3">
        <f t="shared" si="3"/>
        <v>7811.0828298330089</v>
      </c>
      <c r="U20" s="3">
        <f t="shared" si="3"/>
        <v>22445.633128804137</v>
      </c>
      <c r="V20" s="3">
        <f t="shared" si="3"/>
        <v>2801.2972885540394</v>
      </c>
    </row>
    <row r="21" spans="1:22" x14ac:dyDescent="0.25">
      <c r="A21" t="s">
        <v>6</v>
      </c>
      <c r="B21">
        <v>1.40999E-2</v>
      </c>
      <c r="C21">
        <v>9.8583999999999998E-3</v>
      </c>
      <c r="D21">
        <v>2.0166199999999999E-2</v>
      </c>
      <c r="E21">
        <v>8.7466000000000002E-3</v>
      </c>
      <c r="F21">
        <v>5.9982999999999998E-3</v>
      </c>
      <c r="G21">
        <v>1.27542E-2</v>
      </c>
      <c r="H21">
        <v>4.6683000000000002E-3</v>
      </c>
      <c r="I21">
        <v>1.5056E-3</v>
      </c>
      <c r="J21">
        <v>1.44745E-2</v>
      </c>
      <c r="K21">
        <f t="shared" si="0"/>
        <v>1.0101643999999998E-2</v>
      </c>
      <c r="L21">
        <f t="shared" si="1"/>
        <v>6.6207820000000004E-3</v>
      </c>
      <c r="M21">
        <f t="shared" si="2"/>
        <v>1.2709521999999999E-2</v>
      </c>
      <c r="N21">
        <f>SQRT(K21^2+K16^2)</f>
        <v>1.0306886729083616E-2</v>
      </c>
      <c r="O21">
        <f>SQRT(L21^2+L16^2)</f>
        <v>6.7992996903260567E-3</v>
      </c>
      <c r="P21">
        <f>SQRT(M21^2+M16^2)</f>
        <v>1.3517433670687938E-2</v>
      </c>
      <c r="Q21" s="3">
        <f>LN(B21)-LN(B16)</f>
        <v>0.26081439131130679</v>
      </c>
      <c r="R21" s="3">
        <f>LN(E21)-LN(E16)</f>
        <v>0.26078318589760041</v>
      </c>
      <c r="S21" s="3">
        <f>LN(H21)-LN(H16)</f>
        <v>-0.52921472167576677</v>
      </c>
      <c r="T21" s="3">
        <f t="shared" si="3"/>
        <v>9413.367056207604</v>
      </c>
      <c r="U21" s="3">
        <f t="shared" si="3"/>
        <v>21630.752708838107</v>
      </c>
      <c r="V21" s="3">
        <f t="shared" si="3"/>
        <v>5472.8242983917917</v>
      </c>
    </row>
    <row r="22" spans="1:22" x14ac:dyDescent="0.25">
      <c r="A22" t="s">
        <v>7</v>
      </c>
      <c r="B22">
        <v>1.17348E-2</v>
      </c>
      <c r="C22">
        <v>4.8843999999999997E-3</v>
      </c>
      <c r="D22">
        <v>2.8193300000000001E-2</v>
      </c>
      <c r="E22">
        <v>7.4904000000000004E-3</v>
      </c>
      <c r="F22">
        <v>3.3651000000000002E-3</v>
      </c>
      <c r="G22">
        <v>1.6672599999999999E-2</v>
      </c>
      <c r="H22">
        <v>8.7705000000000005E-3</v>
      </c>
      <c r="I22">
        <v>2.1935000000000001E-3</v>
      </c>
      <c r="J22">
        <v>3.5068299999999997E-2</v>
      </c>
      <c r="K22">
        <f t="shared" si="0"/>
        <v>2.2842721999999999E-2</v>
      </c>
      <c r="L22">
        <f t="shared" si="1"/>
        <v>1.304135E-2</v>
      </c>
      <c r="M22">
        <f t="shared" si="2"/>
        <v>3.2217303999999995E-2</v>
      </c>
      <c r="N22">
        <f>SQRT(K22^2+K16^2)</f>
        <v>2.2934224445415805E-2</v>
      </c>
      <c r="O22">
        <f>SQRT(L22^2+L16^2)</f>
        <v>1.3132879798804373E-2</v>
      </c>
      <c r="P22">
        <f>SQRT(M22^2+M16^2)</f>
        <v>3.2544488636347936E-2</v>
      </c>
      <c r="Q22" s="3">
        <f>LN(B22)-LN(B16)</f>
        <v>7.7205472275008624E-2</v>
      </c>
      <c r="R22" s="3">
        <f>LN(E22)-LN(E16)</f>
        <v>0.10574033311263076</v>
      </c>
      <c r="S22" s="3">
        <f>LN(H22)-LN(H16)</f>
        <v>0.10138411591449437</v>
      </c>
      <c r="T22" s="3">
        <f t="shared" si="3"/>
        <v>1901.2178503153</v>
      </c>
      <c r="U22" s="3">
        <f t="shared" si="3"/>
        <v>5798.0247028699569</v>
      </c>
      <c r="V22" s="3">
        <f t="shared" si="3"/>
        <v>944.15891032146567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274F-2170-4290-933B-5B5817C77BEC}">
  <dimension ref="A1:V28"/>
  <sheetViews>
    <sheetView workbookViewId="0">
      <selection activeCell="B13" sqref="B13:J19"/>
    </sheetView>
  </sheetViews>
  <sheetFormatPr defaultRowHeight="15" x14ac:dyDescent="0.25"/>
  <sheetData>
    <row r="1" spans="1:22" x14ac:dyDescent="0.25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</row>
    <row r="2" spans="1:22" x14ac:dyDescent="0.25">
      <c r="A2" t="s">
        <v>1</v>
      </c>
      <c r="B2">
        <v>-1.9640542184057073</v>
      </c>
      <c r="C2">
        <v>-2.0057356523011745</v>
      </c>
      <c r="D2">
        <v>-1.9223705065445611</v>
      </c>
      <c r="E2">
        <v>-2.1714174328084885</v>
      </c>
      <c r="F2">
        <v>-2.2221963242502771</v>
      </c>
      <c r="G2">
        <v>-2.1206402964731201</v>
      </c>
      <c r="H2">
        <v>-2.1010062092013397</v>
      </c>
      <c r="I2">
        <v>-2.2278984307229881</v>
      </c>
      <c r="J2">
        <v>-1.9741168250123045</v>
      </c>
      <c r="K2">
        <f t="shared" ref="K2:K8" si="0">(D2-C2)/2*1.96</f>
        <v>8.1697842841481086E-2</v>
      </c>
      <c r="L2">
        <f t="shared" ref="L2:L8" si="1">(G2-F2)/2*1.96</f>
        <v>9.9524907221613862E-2</v>
      </c>
      <c r="M2">
        <f t="shared" ref="M2:M8" si="2">(J2-I2)/2*1.96</f>
        <v>0.24870597359646995</v>
      </c>
      <c r="Q2" s="3" t="s">
        <v>33</v>
      </c>
      <c r="R2" s="3" t="s">
        <v>33</v>
      </c>
      <c r="S2" s="3" t="s">
        <v>33</v>
      </c>
      <c r="T2" s="3" t="s">
        <v>33</v>
      </c>
      <c r="U2" s="3" t="s">
        <v>33</v>
      </c>
      <c r="V2" s="3" t="s">
        <v>33</v>
      </c>
    </row>
    <row r="3" spans="1:22" x14ac:dyDescent="0.25">
      <c r="A3" t="s">
        <v>2</v>
      </c>
      <c r="B3">
        <v>-1.8276919520963526</v>
      </c>
      <c r="C3">
        <v>-1.9480722304263411</v>
      </c>
      <c r="D3">
        <v>-1.7073142783359672</v>
      </c>
      <c r="E3">
        <v>-2.132615018250958</v>
      </c>
      <c r="F3">
        <v>-2.2672043017106707</v>
      </c>
      <c r="G3">
        <v>-1.9980284420081391</v>
      </c>
      <c r="H3">
        <v>-2.0402862106438557</v>
      </c>
      <c r="I3">
        <v>-2.3240201338110702</v>
      </c>
      <c r="J3">
        <v>-1.7565501872395435</v>
      </c>
      <c r="K3">
        <f t="shared" si="0"/>
        <v>0.2359427930485665</v>
      </c>
      <c r="L3">
        <f t="shared" si="1"/>
        <v>0.26379234250848094</v>
      </c>
      <c r="M3">
        <f t="shared" si="2"/>
        <v>0.55612054764009622</v>
      </c>
      <c r="N3">
        <f>SQRT(K3^2+K2^2)</f>
        <v>0.24968688214744086</v>
      </c>
      <c r="O3">
        <f>SQRT(L3^2+L2^2)</f>
        <v>0.28194255997203149</v>
      </c>
      <c r="P3">
        <f>SQRT(M3^2+M2^2)</f>
        <v>0.60920006960775086</v>
      </c>
      <c r="Q3" s="3" t="e">
        <f>LN(B3)-LN(B2)</f>
        <v>#NUM!</v>
      </c>
      <c r="R3" s="3" t="e">
        <f>LN(E3)-LN(E2)</f>
        <v>#NUM!</v>
      </c>
      <c r="S3" s="3" t="e">
        <f>LN(H3)-LN(H2)</f>
        <v>#NUM!</v>
      </c>
      <c r="T3" s="3">
        <f t="shared" ref="T3:V8" si="3">1/(N3^2)</f>
        <v>16.040154507930023</v>
      </c>
      <c r="U3" s="3">
        <f t="shared" si="3"/>
        <v>12.579944426652967</v>
      </c>
      <c r="V3" s="3">
        <f t="shared" si="3"/>
        <v>2.6945119339912447</v>
      </c>
    </row>
    <row r="4" spans="1:22" x14ac:dyDescent="0.25">
      <c r="A4" t="s">
        <v>3</v>
      </c>
      <c r="B4">
        <v>-1.9086214956464869</v>
      </c>
      <c r="C4">
        <v>-1.9763401944588186</v>
      </c>
      <c r="D4">
        <v>-1.8409052536324599</v>
      </c>
      <c r="E4">
        <v>-2.0371573187987577</v>
      </c>
      <c r="F4">
        <v>-2.1104181978503762</v>
      </c>
      <c r="G4">
        <v>-1.9638983259177658</v>
      </c>
      <c r="H4">
        <v>-1.929629609632997</v>
      </c>
      <c r="I4">
        <v>-2.1033800996434824</v>
      </c>
      <c r="J4">
        <v>-1.7558788077702587</v>
      </c>
      <c r="K4">
        <f t="shared" si="0"/>
        <v>0.13272624200983146</v>
      </c>
      <c r="L4">
        <f t="shared" si="1"/>
        <v>0.1435894744939582</v>
      </c>
      <c r="M4">
        <f t="shared" si="2"/>
        <v>0.34055126603575919</v>
      </c>
      <c r="N4">
        <f>SQRT(K4^2+K2^2)</f>
        <v>0.15585503791345243</v>
      </c>
      <c r="O4">
        <f>SQRT(L4^2+L2^2)</f>
        <v>0.17470874146110127</v>
      </c>
      <c r="P4">
        <f>SQRT(M4^2+M2^2)</f>
        <v>0.42169873855766565</v>
      </c>
      <c r="Q4" s="3" t="e">
        <f>LN(B4)-LN(B2)</f>
        <v>#NUM!</v>
      </c>
      <c r="R4" s="3" t="e">
        <f>LN(E4)-LN(E2)</f>
        <v>#NUM!</v>
      </c>
      <c r="S4" s="3" t="e">
        <f>LN(H4)-LN(H2)</f>
        <v>#NUM!</v>
      </c>
      <c r="T4" s="3">
        <f t="shared" si="3"/>
        <v>41.167861685833074</v>
      </c>
      <c r="U4" s="3">
        <f t="shared" si="3"/>
        <v>32.762024408926663</v>
      </c>
      <c r="V4" s="3">
        <f t="shared" si="3"/>
        <v>5.6233536405267035</v>
      </c>
    </row>
    <row r="5" spans="1:22" x14ac:dyDescent="0.25">
      <c r="A5" t="s">
        <v>4</v>
      </c>
      <c r="B5">
        <v>-1.8276364637068698</v>
      </c>
      <c r="C5">
        <v>-1.9978771537748383</v>
      </c>
      <c r="D5">
        <v>-1.6573977163301261</v>
      </c>
      <c r="E5">
        <v>-2.175672366963588</v>
      </c>
      <c r="F5">
        <v>-2.3709473622716102</v>
      </c>
      <c r="G5">
        <v>-1.980389435489595</v>
      </c>
      <c r="H5">
        <v>-2.2746356622257182</v>
      </c>
      <c r="I5">
        <v>-2.7660905465122196</v>
      </c>
      <c r="J5">
        <v>-1.7831956659006449</v>
      </c>
      <c r="K5">
        <f t="shared" si="0"/>
        <v>0.33366984869581795</v>
      </c>
      <c r="L5">
        <f t="shared" si="1"/>
        <v>0.38274676824637488</v>
      </c>
      <c r="M5">
        <f t="shared" si="2"/>
        <v>0.96323698299934324</v>
      </c>
      <c r="N5">
        <f>SQRT(K5^2+K2^2)</f>
        <v>0.34352598948790086</v>
      </c>
      <c r="O5">
        <f>SQRT(L5^2+L2^2)</f>
        <v>0.39547477259683078</v>
      </c>
      <c r="P5">
        <f>SQRT(M5^2+M2^2)</f>
        <v>0.99482669180126293</v>
      </c>
      <c r="Q5" s="3" t="e">
        <f>LN(B5)-LN(B2)</f>
        <v>#NUM!</v>
      </c>
      <c r="R5" s="3" t="e">
        <f>LN(E5)-LN(E2)</f>
        <v>#NUM!</v>
      </c>
      <c r="S5" s="3" t="e">
        <f>LN(H5)-LN(H2)</f>
        <v>#NUM!</v>
      </c>
      <c r="T5" s="3">
        <f t="shared" si="3"/>
        <v>8.4738505753885285</v>
      </c>
      <c r="U5" s="3">
        <f t="shared" si="3"/>
        <v>6.3938498014813927</v>
      </c>
      <c r="V5" s="3">
        <f t="shared" si="3"/>
        <v>1.010427463169747</v>
      </c>
    </row>
    <row r="6" spans="1:22" x14ac:dyDescent="0.25">
      <c r="A6" t="s">
        <v>5</v>
      </c>
      <c r="B6">
        <v>-1.8243896263099666</v>
      </c>
      <c r="C6">
        <v>-1.9852527128827937</v>
      </c>
      <c r="D6">
        <v>-1.6635282581751218</v>
      </c>
      <c r="E6">
        <v>-2.1472334177878816</v>
      </c>
      <c r="F6">
        <v>-2.3425138922409401</v>
      </c>
      <c r="G6">
        <v>-1.9519546030414185</v>
      </c>
      <c r="H6">
        <v>-2.0262396460995911</v>
      </c>
      <c r="I6">
        <v>-2.4069023158255201</v>
      </c>
      <c r="J6">
        <v>-1.6455688424102632</v>
      </c>
      <c r="K6">
        <f t="shared" si="0"/>
        <v>0.31528996561351841</v>
      </c>
      <c r="L6">
        <f t="shared" si="1"/>
        <v>0.38274810341553112</v>
      </c>
      <c r="M6">
        <f t="shared" si="2"/>
        <v>0.74610680394695161</v>
      </c>
      <c r="N6">
        <f>SQRT(K6^2+K2^2)</f>
        <v>0.32570277852902169</v>
      </c>
      <c r="O6">
        <f>SQRT(L6^2+L2^2)</f>
        <v>0.39547606479489622</v>
      </c>
      <c r="P6">
        <f>SQRT(M6^2+M2^2)</f>
        <v>0.78646679789963347</v>
      </c>
      <c r="Q6" s="3" t="e">
        <f>LN(B6)-LN(B2)</f>
        <v>#NUM!</v>
      </c>
      <c r="R6" s="3" t="e">
        <f>LN(E6)-LN(E2)</f>
        <v>#NUM!</v>
      </c>
      <c r="S6" s="3" t="e">
        <f>LN(H6)-LN(H2)</f>
        <v>#NUM!</v>
      </c>
      <c r="T6" s="3">
        <f t="shared" si="3"/>
        <v>9.4266432812186718</v>
      </c>
      <c r="U6" s="3">
        <f t="shared" si="3"/>
        <v>6.3938080183871344</v>
      </c>
      <c r="V6" s="3">
        <f t="shared" si="3"/>
        <v>1.6167363925394076</v>
      </c>
    </row>
    <row r="7" spans="1:22" x14ac:dyDescent="0.25">
      <c r="A7" t="s">
        <v>6</v>
      </c>
      <c r="B7">
        <v>-1.8507839674582511</v>
      </c>
      <c r="C7">
        <v>-2.0061935645269577</v>
      </c>
      <c r="D7">
        <v>-1.6953759299731379</v>
      </c>
      <c r="E7">
        <v>-2.058160734200011</v>
      </c>
      <c r="F7">
        <v>-2.2219718171549538</v>
      </c>
      <c r="G7">
        <v>-1.8943467770762723</v>
      </c>
      <c r="H7">
        <v>-2.3308412425670899</v>
      </c>
      <c r="I7">
        <v>-2.8222903939168185</v>
      </c>
      <c r="J7">
        <v>-1.839396429396134</v>
      </c>
      <c r="K7">
        <f t="shared" si="0"/>
        <v>0.30460128186274343</v>
      </c>
      <c r="L7">
        <f t="shared" si="1"/>
        <v>0.32107253927710788</v>
      </c>
      <c r="M7">
        <f t="shared" si="2"/>
        <v>0.96323608523027071</v>
      </c>
      <c r="N7">
        <f>SQRT(K7^2+K2^2)</f>
        <v>0.31536721205188378</v>
      </c>
      <c r="O7">
        <f>SQRT(L7^2+L2^2)</f>
        <v>0.33614399092549729</v>
      </c>
      <c r="P7">
        <f>SQRT(M7^2+M2^2)</f>
        <v>0.99482582253995866</v>
      </c>
      <c r="Q7" s="3" t="e">
        <f>LN(B7)-LN(B2)</f>
        <v>#NUM!</v>
      </c>
      <c r="R7" s="3" t="e">
        <f>LN(E7)-LN(E2)</f>
        <v>#NUM!</v>
      </c>
      <c r="S7" s="3" t="e">
        <f>LN(H7)-LN(H2)</f>
        <v>#NUM!</v>
      </c>
      <c r="T7" s="3">
        <f t="shared" si="3"/>
        <v>10.054649186373958</v>
      </c>
      <c r="U7" s="3">
        <f t="shared" si="3"/>
        <v>8.8501227837485477</v>
      </c>
      <c r="V7" s="3">
        <f t="shared" si="3"/>
        <v>1.0104292289580052</v>
      </c>
    </row>
    <row r="8" spans="1:22" x14ac:dyDescent="0.25">
      <c r="A8" t="s">
        <v>7</v>
      </c>
      <c r="B8">
        <v>-1.9305243078239365</v>
      </c>
      <c r="C8">
        <v>-2.3111887774299809</v>
      </c>
      <c r="D8">
        <v>-1.5498540873809239</v>
      </c>
      <c r="E8">
        <v>-2.125494989623061</v>
      </c>
      <c r="F8">
        <v>-2.4730020254064553</v>
      </c>
      <c r="G8">
        <v>-1.7779966690619291</v>
      </c>
      <c r="H8">
        <v>-2.0569756471070351</v>
      </c>
      <c r="I8">
        <v>-2.6588623612590361</v>
      </c>
      <c r="J8">
        <v>-1.4550852868277699</v>
      </c>
      <c r="K8">
        <f t="shared" si="0"/>
        <v>0.74610799624807578</v>
      </c>
      <c r="L8">
        <f t="shared" si="1"/>
        <v>0.68110524921763571</v>
      </c>
      <c r="M8">
        <f t="shared" si="2"/>
        <v>1.1797015329426408</v>
      </c>
      <c r="N8">
        <f>SQRT(K8^2+K2^2)</f>
        <v>0.75056757163513943</v>
      </c>
      <c r="O8">
        <f>SQRT(L8^2+L2^2)</f>
        <v>0.68833826544024745</v>
      </c>
      <c r="P8">
        <f>SQRT(M8^2+M2^2)</f>
        <v>1.2056327666954747</v>
      </c>
      <c r="Q8" s="3" t="e">
        <f>LN(B8)-LN(B2)</f>
        <v>#NUM!</v>
      </c>
      <c r="R8" s="3" t="e">
        <f>LN(E8)-LN(E2)</f>
        <v>#NUM!</v>
      </c>
      <c r="S8" s="3" t="e">
        <f>LN(H8)-LN(H2)</f>
        <v>#NUM!</v>
      </c>
      <c r="T8" s="3">
        <f t="shared" si="3"/>
        <v>1.7750901190661355</v>
      </c>
      <c r="U8" s="3">
        <f t="shared" si="3"/>
        <v>2.1105525684487314</v>
      </c>
      <c r="V8" s="3">
        <f t="shared" si="3"/>
        <v>0.68797065579960126</v>
      </c>
    </row>
    <row r="12" spans="1:22" ht="15.75" thickBot="1" x14ac:dyDescent="0.3">
      <c r="A12" s="4"/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</row>
    <row r="13" spans="1:22" x14ac:dyDescent="0.25">
      <c r="A13" s="3" t="s">
        <v>1</v>
      </c>
      <c r="B13">
        <f t="shared" ref="B13:J13" si="4">B2</f>
        <v>-1.9640542184057073</v>
      </c>
      <c r="C13">
        <f t="shared" si="4"/>
        <v>-2.0057356523011745</v>
      </c>
      <c r="D13">
        <f t="shared" si="4"/>
        <v>-1.9223705065445611</v>
      </c>
      <c r="E13">
        <f t="shared" si="4"/>
        <v>-2.1714174328084885</v>
      </c>
      <c r="F13">
        <f t="shared" si="4"/>
        <v>-2.2221963242502771</v>
      </c>
      <c r="G13">
        <f t="shared" si="4"/>
        <v>-2.1206402964731201</v>
      </c>
      <c r="H13">
        <f t="shared" si="4"/>
        <v>-2.1010062092013397</v>
      </c>
      <c r="I13">
        <f t="shared" si="4"/>
        <v>-2.2278984307229881</v>
      </c>
      <c r="J13">
        <f t="shared" si="4"/>
        <v>-1.9741168250123045</v>
      </c>
    </row>
    <row r="14" spans="1:22" x14ac:dyDescent="0.25">
      <c r="A14" s="3" t="s">
        <v>2</v>
      </c>
      <c r="B14">
        <f>B2+B23</f>
        <v>-1.9536942184057073</v>
      </c>
      <c r="C14">
        <f>B14-1.96*(K3+K23)</f>
        <v>-3.7983497727808979</v>
      </c>
      <c r="D14">
        <f>B14+1.96*(K3+K23)</f>
        <v>-0.10903866403051699</v>
      </c>
      <c r="E14">
        <f>E2+E23</f>
        <v>-1.7632174328084886</v>
      </c>
      <c r="F14">
        <f>E14-1.96*(L3+L23)</f>
        <v>-7.4045606641251105</v>
      </c>
      <c r="G14">
        <f>E14+1.96*(L3+L23)</f>
        <v>3.8781257985081332</v>
      </c>
      <c r="H14">
        <f>H2+H23</f>
        <v>-1.6915062092013398</v>
      </c>
      <c r="I14">
        <f>H14-1.96*(M3+M23)</f>
        <v>-13.582160882575927</v>
      </c>
      <c r="J14">
        <f>H14+1.96*(M3+M23)</f>
        <v>10.199148464173248</v>
      </c>
    </row>
    <row r="15" spans="1:22" x14ac:dyDescent="0.25">
      <c r="A15" s="3" t="s">
        <v>3</v>
      </c>
      <c r="B15">
        <f>B2+B24</f>
        <v>-2.2013542184057071</v>
      </c>
      <c r="C15">
        <f t="shared" ref="C15:C19" si="5">B15-1.96*(K4+K24)</f>
        <v>-4.8457866927449764</v>
      </c>
      <c r="D15">
        <f t="shared" ref="D15:D19" si="6">B15+1.96*(K4+K24)</f>
        <v>0.4430782559335622</v>
      </c>
      <c r="E15">
        <f>E2+E24</f>
        <v>-1.7145174328084885</v>
      </c>
      <c r="F15">
        <f t="shared" ref="F15:F19" si="7">E15-1.96*(L4+L24)</f>
        <v>-9.6835706428166457</v>
      </c>
      <c r="G15">
        <f t="shared" ref="G15:G19" si="8">E15+1.96*(L4+L24)</f>
        <v>6.2545357771996688</v>
      </c>
      <c r="H15">
        <f>H2+H24</f>
        <v>-2.4463062092013397</v>
      </c>
      <c r="I15">
        <f t="shared" ref="I15:I17" si="9">H15-1.96*(M4+M24)</f>
        <v>-13.232561090631428</v>
      </c>
      <c r="J15">
        <f t="shared" ref="J15:J17" si="10">H15+1.96*(M4+M24)</f>
        <v>8.3399486722287506</v>
      </c>
    </row>
    <row r="16" spans="1:22" x14ac:dyDescent="0.25">
      <c r="A16" s="3" t="s">
        <v>4</v>
      </c>
      <c r="B16">
        <f>B2+B25</f>
        <v>-2.1910542184057071</v>
      </c>
      <c r="C16">
        <f t="shared" si="5"/>
        <v>-5.4160379218495098</v>
      </c>
      <c r="D16">
        <f t="shared" si="6"/>
        <v>1.033929485038096</v>
      </c>
      <c r="E16">
        <f>E2+E25</f>
        <v>-1.4370174328084886</v>
      </c>
      <c r="F16">
        <f t="shared" si="7"/>
        <v>-9.8811575785713828</v>
      </c>
      <c r="G16">
        <f t="shared" si="8"/>
        <v>7.0071227129544056</v>
      </c>
      <c r="H16">
        <f>H2+H25</f>
        <v>-0.6900062092013397</v>
      </c>
      <c r="I16">
        <f t="shared" si="9"/>
        <v>-13.985197735880053</v>
      </c>
      <c r="J16">
        <f t="shared" si="10"/>
        <v>12.605185317477375</v>
      </c>
    </row>
    <row r="17" spans="1:13" x14ac:dyDescent="0.25">
      <c r="A17" s="3" t="s">
        <v>5</v>
      </c>
      <c r="B17">
        <f>B2+B26</f>
        <v>-1.9821642184057073</v>
      </c>
      <c r="C17">
        <f>B17-1.96*(K6+K26)</f>
        <v>-4.4807878310082039</v>
      </c>
      <c r="D17">
        <f>B17+1.96*(K6+K26)</f>
        <v>0.51645939419678877</v>
      </c>
      <c r="E17">
        <f>E2+E26</f>
        <v>-2.3423174328084886</v>
      </c>
      <c r="F17">
        <f t="shared" si="7"/>
        <v>-5.5960744355029295</v>
      </c>
      <c r="G17">
        <f t="shared" si="8"/>
        <v>0.91143956988595232</v>
      </c>
      <c r="H17">
        <f>H2+H26</f>
        <v>-3.13900620920134</v>
      </c>
      <c r="I17">
        <f t="shared" si="9"/>
        <v>-7.8118006649373655</v>
      </c>
      <c r="J17">
        <f t="shared" si="10"/>
        <v>1.5337882465346855</v>
      </c>
    </row>
    <row r="18" spans="1:13" x14ac:dyDescent="0.25">
      <c r="A18" s="3" t="s">
        <v>6</v>
      </c>
      <c r="B18">
        <f>B2+B27</f>
        <v>-1.9718042184057072</v>
      </c>
      <c r="C18">
        <f>B18-1.96*(K7+K27)</f>
        <v>-4.8897253708566843</v>
      </c>
      <c r="D18">
        <f>B18+1.96*(K7+K27)</f>
        <v>0.9461169340452702</v>
      </c>
      <c r="E18">
        <f>E2+E27</f>
        <v>-2.1754584328084885</v>
      </c>
      <c r="F18">
        <f t="shared" si="7"/>
        <v>-12.741059009791618</v>
      </c>
      <c r="G18">
        <f t="shared" si="8"/>
        <v>8.3901421441746411</v>
      </c>
      <c r="H18">
        <f>H2+H27</f>
        <v>-2.1064772092013397</v>
      </c>
      <c r="I18">
        <f>H18-1.96*(M7+M27)</f>
        <v>-17.89524953625267</v>
      </c>
      <c r="J18">
        <f>H18+1.96*(M7+M27)</f>
        <v>13.682295117849989</v>
      </c>
    </row>
    <row r="19" spans="1:13" x14ac:dyDescent="0.25">
      <c r="A19" s="3" t="s">
        <v>7</v>
      </c>
      <c r="B19">
        <f>B2+B28</f>
        <v>-1.5830542184057073</v>
      </c>
      <c r="C19">
        <f t="shared" si="5"/>
        <v>-7.031277971051936</v>
      </c>
      <c r="D19">
        <f t="shared" si="6"/>
        <v>3.865169534240521</v>
      </c>
      <c r="E19">
        <f>E2+E28</f>
        <v>-2.4113174328084885</v>
      </c>
      <c r="F19">
        <f t="shared" si="7"/>
        <v>-10.665005321275054</v>
      </c>
      <c r="G19">
        <f t="shared" si="8"/>
        <v>5.8423704556580773</v>
      </c>
      <c r="H19">
        <f>H2+H28</f>
        <v>-2.4986062092013399</v>
      </c>
      <c r="I19">
        <f>H19-1.96*(M8+M28)</f>
        <v>-15.327201213768914</v>
      </c>
      <c r="J19">
        <f>H19+1.96*(M8+M28)</f>
        <v>10.329988795366235</v>
      </c>
    </row>
    <row r="21" spans="1:13" x14ac:dyDescent="0.25">
      <c r="B21" t="s">
        <v>34</v>
      </c>
      <c r="C21" t="s">
        <v>9</v>
      </c>
      <c r="D21" t="s">
        <v>10</v>
      </c>
      <c r="E21" t="s">
        <v>35</v>
      </c>
      <c r="F21" t="s">
        <v>12</v>
      </c>
      <c r="G21" t="s">
        <v>13</v>
      </c>
      <c r="H21" t="s">
        <v>36</v>
      </c>
      <c r="I21" t="s">
        <v>15</v>
      </c>
      <c r="J21" t="s">
        <v>16</v>
      </c>
      <c r="K21" s="3" t="s">
        <v>21</v>
      </c>
      <c r="L21" s="3" t="s">
        <v>22</v>
      </c>
      <c r="M21" s="3" t="s">
        <v>23</v>
      </c>
    </row>
    <row r="22" spans="1:13" x14ac:dyDescent="0.25">
      <c r="A22" s="3" t="s">
        <v>1</v>
      </c>
    </row>
    <row r="23" spans="1:13" x14ac:dyDescent="0.25">
      <c r="A23" s="3" t="s">
        <v>2</v>
      </c>
      <c r="B23">
        <v>1.0359999999999999E-2</v>
      </c>
      <c r="C23">
        <v>-0.35089999999999999</v>
      </c>
      <c r="D23">
        <v>0.36870000000000003</v>
      </c>
      <c r="E23">
        <v>0.40820000000000001</v>
      </c>
      <c r="F23">
        <v>-0.69779999999999998</v>
      </c>
      <c r="G23">
        <v>1.97</v>
      </c>
      <c r="H23">
        <v>0.40949999999999998</v>
      </c>
      <c r="I23">
        <v>-2.0830000000000002</v>
      </c>
      <c r="J23">
        <v>3.54</v>
      </c>
      <c r="K23">
        <f>(D23-C23)/2*1.96</f>
        <v>0.70520800000000006</v>
      </c>
      <c r="L23">
        <f>(G23-F23)/2*1.96</f>
        <v>2.6144439999999998</v>
      </c>
      <c r="M23">
        <f>(J23-I23)/2*1.96</f>
        <v>5.5105399999999998</v>
      </c>
    </row>
    <row r="24" spans="1:13" x14ac:dyDescent="0.25">
      <c r="A24" s="3" t="s">
        <v>3</v>
      </c>
      <c r="B24">
        <v>-0.23730000000000001</v>
      </c>
      <c r="C24">
        <v>-0.88839999999999997</v>
      </c>
      <c r="D24">
        <v>0.35289999999999999</v>
      </c>
      <c r="E24">
        <v>0.45689999999999997</v>
      </c>
      <c r="F24">
        <v>-0.97030000000000005</v>
      </c>
      <c r="G24">
        <v>3.032</v>
      </c>
      <c r="H24">
        <v>-0.3453</v>
      </c>
      <c r="I24">
        <v>-2.6120000000000001</v>
      </c>
      <c r="J24">
        <v>2.6560000000000001</v>
      </c>
      <c r="K24">
        <f>(D24-C24)/2*1.96</f>
        <v>1.2164739999999998</v>
      </c>
      <c r="L24">
        <f t="shared" ref="L24:L28" si="11">(G24-F24)/2*1.96</f>
        <v>3.9222539999999997</v>
      </c>
      <c r="M24">
        <f t="shared" ref="M24:M28" si="12">(J24-I24)/2*1.96</f>
        <v>5.1626400000000006</v>
      </c>
    </row>
    <row r="25" spans="1:13" x14ac:dyDescent="0.25">
      <c r="A25" s="3" t="s">
        <v>4</v>
      </c>
      <c r="B25">
        <v>-0.22700000000000001</v>
      </c>
      <c r="C25">
        <v>-0.93679999999999997</v>
      </c>
      <c r="D25">
        <v>0.4017</v>
      </c>
      <c r="E25">
        <v>0.73440000000000005</v>
      </c>
      <c r="F25">
        <v>-0.61460000000000004</v>
      </c>
      <c r="G25">
        <v>3.391</v>
      </c>
      <c r="H25">
        <v>1.411</v>
      </c>
      <c r="I25">
        <v>-0.56079999999999997</v>
      </c>
      <c r="J25">
        <v>5.3780000000000001</v>
      </c>
      <c r="K25">
        <f>(D25-C25)/2*1.96</f>
        <v>1.3117300000000001</v>
      </c>
      <c r="L25">
        <f t="shared" si="11"/>
        <v>3.9254880000000001</v>
      </c>
      <c r="M25">
        <f t="shared" si="12"/>
        <v>5.8200240000000001</v>
      </c>
    </row>
    <row r="26" spans="1:13" x14ac:dyDescent="0.25">
      <c r="A26" s="3" t="s">
        <v>5</v>
      </c>
      <c r="B26">
        <v>-1.8110000000000001E-2</v>
      </c>
      <c r="C26">
        <v>-0.49130000000000001</v>
      </c>
      <c r="D26">
        <v>0.48780000000000001</v>
      </c>
      <c r="E26">
        <v>-0.1709</v>
      </c>
      <c r="F26">
        <v>-0.80230000000000001</v>
      </c>
      <c r="G26">
        <v>0.50109999999999999</v>
      </c>
      <c r="H26">
        <v>-1.038</v>
      </c>
      <c r="I26">
        <v>-1.8720000000000001</v>
      </c>
      <c r="J26">
        <v>-0.2006</v>
      </c>
      <c r="K26">
        <f t="shared" ref="K26:K28" si="13">(D26-C26)/2*1.96</f>
        <v>0.95951800000000009</v>
      </c>
      <c r="L26">
        <f t="shared" si="11"/>
        <v>1.2773319999999999</v>
      </c>
      <c r="M26">
        <f t="shared" si="12"/>
        <v>1.6379720000000002</v>
      </c>
    </row>
    <row r="27" spans="1:13" x14ac:dyDescent="0.25">
      <c r="A27" s="3" t="s">
        <v>6</v>
      </c>
      <c r="B27">
        <v>-7.7499999999999999E-3</v>
      </c>
      <c r="C27">
        <v>-0.59799999999999998</v>
      </c>
      <c r="D27">
        <v>0.61029999999999995</v>
      </c>
      <c r="E27">
        <v>-4.0410000000000003E-3</v>
      </c>
      <c r="F27">
        <v>-2.5529999999999999</v>
      </c>
      <c r="G27">
        <v>2.62</v>
      </c>
      <c r="H27">
        <v>-5.4710000000000002E-3</v>
      </c>
      <c r="I27">
        <v>-3.593</v>
      </c>
      <c r="J27">
        <v>3.6440000000000001</v>
      </c>
      <c r="K27">
        <f t="shared" si="13"/>
        <v>1.184134</v>
      </c>
      <c r="L27">
        <f t="shared" si="11"/>
        <v>5.0695399999999999</v>
      </c>
      <c r="M27">
        <f t="shared" si="12"/>
        <v>7.0922599999999996</v>
      </c>
    </row>
    <row r="28" spans="1:13" x14ac:dyDescent="0.25">
      <c r="A28" s="3" t="s">
        <v>7</v>
      </c>
      <c r="B28">
        <v>0.38100000000000001</v>
      </c>
      <c r="C28">
        <v>-0.53110000000000002</v>
      </c>
      <c r="D28">
        <v>1.544</v>
      </c>
      <c r="E28">
        <v>-0.2399</v>
      </c>
      <c r="F28">
        <v>-2.097</v>
      </c>
      <c r="G28">
        <v>1.5049999999999999</v>
      </c>
      <c r="H28">
        <v>-0.39760000000000001</v>
      </c>
      <c r="I28">
        <v>-3.0009999999999999</v>
      </c>
      <c r="J28">
        <v>2.4740000000000002</v>
      </c>
      <c r="K28">
        <f t="shared" si="13"/>
        <v>2.033598</v>
      </c>
      <c r="L28">
        <f t="shared" si="11"/>
        <v>3.52996</v>
      </c>
      <c r="M28">
        <f t="shared" si="12"/>
        <v>5.3654999999999999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F1323-7ADD-4B0B-9C9C-AFE7C023BE73}">
  <dimension ref="A1:J8"/>
  <sheetViews>
    <sheetView workbookViewId="0">
      <selection activeCell="B2" sqref="B2:J8"/>
    </sheetView>
  </sheetViews>
  <sheetFormatPr defaultRowHeight="15" x14ac:dyDescent="0.25"/>
  <cols>
    <col min="1" max="1" width="20.85546875" customWidth="1"/>
  </cols>
  <sheetData>
    <row r="1" spans="1:10" ht="15.75" thickBot="1" x14ac:dyDescent="0.3">
      <c r="A1" s="4"/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25">
      <c r="A2" s="3" t="s">
        <v>1</v>
      </c>
      <c r="B2">
        <v>-1.9640542184057073</v>
      </c>
      <c r="C2">
        <v>-2.0057356523011745</v>
      </c>
      <c r="D2">
        <v>-1.9223705065445611</v>
      </c>
      <c r="E2">
        <v>-2.1714174328084885</v>
      </c>
      <c r="F2">
        <v>-2.2221963242502771</v>
      </c>
      <c r="G2">
        <v>-2.1206402964731201</v>
      </c>
      <c r="H2">
        <v>-2.1010062092013397</v>
      </c>
      <c r="I2">
        <v>-2.2278984307229881</v>
      </c>
      <c r="J2">
        <v>-1.9741168250123045</v>
      </c>
    </row>
    <row r="3" spans="1:10" x14ac:dyDescent="0.25">
      <c r="A3" s="3" t="s">
        <v>2</v>
      </c>
      <c r="B3">
        <v>-1.9536942184057073</v>
      </c>
      <c r="C3">
        <v>-3.7983497727808979</v>
      </c>
      <c r="D3">
        <v>-0.10903866403051699</v>
      </c>
      <c r="E3">
        <v>-1.7632174328084886</v>
      </c>
      <c r="F3">
        <v>-7.4045606641251105</v>
      </c>
      <c r="G3">
        <v>3.8781257985081332</v>
      </c>
      <c r="H3">
        <v>-1.6915062092013398</v>
      </c>
      <c r="I3">
        <v>-13.582160882575927</v>
      </c>
      <c r="J3">
        <v>10.199148464173248</v>
      </c>
    </row>
    <row r="4" spans="1:10" x14ac:dyDescent="0.25">
      <c r="A4" s="3" t="s">
        <v>3</v>
      </c>
      <c r="B4">
        <v>-2.2013542184057071</v>
      </c>
      <c r="C4">
        <v>-4.8457866927449764</v>
      </c>
      <c r="D4">
        <v>0.4430782559335622</v>
      </c>
      <c r="E4">
        <v>-1.7145174328084885</v>
      </c>
      <c r="F4">
        <v>-9.6835706428166457</v>
      </c>
      <c r="G4">
        <v>6.2545357771996688</v>
      </c>
      <c r="H4">
        <v>-2.4463062092013397</v>
      </c>
      <c r="I4">
        <v>-13.232561090631428</v>
      </c>
      <c r="J4">
        <v>8.3399486722287506</v>
      </c>
    </row>
    <row r="5" spans="1:10" x14ac:dyDescent="0.25">
      <c r="A5" s="3" t="s">
        <v>4</v>
      </c>
      <c r="B5">
        <v>-2.1910542184057071</v>
      </c>
      <c r="C5">
        <v>-5.4160379218495098</v>
      </c>
      <c r="D5">
        <v>1.033929485038096</v>
      </c>
      <c r="E5">
        <v>-1.4370174328084886</v>
      </c>
      <c r="F5">
        <v>-9.8811575785713828</v>
      </c>
      <c r="G5">
        <v>7.0071227129544056</v>
      </c>
      <c r="H5">
        <v>-0.6900062092013397</v>
      </c>
      <c r="I5">
        <v>-13.985197735880053</v>
      </c>
      <c r="J5">
        <v>12.605185317477375</v>
      </c>
    </row>
    <row r="6" spans="1:10" x14ac:dyDescent="0.25">
      <c r="A6" s="3" t="s">
        <v>5</v>
      </c>
      <c r="B6">
        <v>-1.9821642184057073</v>
      </c>
      <c r="C6">
        <v>-4.4807878310082039</v>
      </c>
      <c r="D6">
        <v>0.51645939419678877</v>
      </c>
      <c r="E6">
        <v>-2.3423174328084886</v>
      </c>
      <c r="F6">
        <v>-5.5960744355029295</v>
      </c>
      <c r="G6">
        <v>0.91143956988595232</v>
      </c>
      <c r="H6">
        <v>-3.13900620920134</v>
      </c>
      <c r="I6">
        <v>-7.8118006649373655</v>
      </c>
      <c r="J6">
        <v>1.5337882465346855</v>
      </c>
    </row>
    <row r="7" spans="1:10" x14ac:dyDescent="0.25">
      <c r="A7" s="3" t="s">
        <v>6</v>
      </c>
      <c r="B7">
        <v>-1.9718042184057072</v>
      </c>
      <c r="C7">
        <v>-4.8897253708566843</v>
      </c>
      <c r="D7">
        <v>0.9461169340452702</v>
      </c>
      <c r="E7">
        <v>-2.1754584328084885</v>
      </c>
      <c r="F7">
        <v>-12.741059009791618</v>
      </c>
      <c r="G7">
        <v>8.3901421441746411</v>
      </c>
      <c r="H7">
        <v>-2.1064772092013397</v>
      </c>
      <c r="I7">
        <v>-17.89524953625267</v>
      </c>
      <c r="J7">
        <v>13.682295117849989</v>
      </c>
    </row>
    <row r="8" spans="1:10" x14ac:dyDescent="0.25">
      <c r="A8" s="3" t="s">
        <v>7</v>
      </c>
      <c r="B8">
        <v>-1.5830542184057073</v>
      </c>
      <c r="C8">
        <v>-7.031277971051936</v>
      </c>
      <c r="D8">
        <v>3.865169534240521</v>
      </c>
      <c r="E8">
        <v>-2.4113174328084885</v>
      </c>
      <c r="F8">
        <v>-10.665005321275054</v>
      </c>
      <c r="G8">
        <v>5.8423704556580773</v>
      </c>
      <c r="H8">
        <v>-2.4986062092013399</v>
      </c>
      <c r="I8">
        <v>-15.327201213768914</v>
      </c>
      <c r="J8">
        <v>10.329988795366235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Yixin Xu</dc:creator>
  <cp:lastModifiedBy>Yixin Xu</cp:lastModifiedBy>
  <dcterms:created xsi:type="dcterms:W3CDTF">2021-07-12T22:37:05Z</dcterms:created>
  <dcterms:modified xsi:type="dcterms:W3CDTF">2026-04-24T18:48:17Z</dcterms:modified>
</cp:coreProperties>
</file>