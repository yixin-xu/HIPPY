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x18392\Desktop\HIPPY\semi Markov data\"/>
    </mc:Choice>
  </mc:AlternateContent>
  <xr:revisionPtr revIDLastSave="0" documentId="13_ncr:1_{CE459930-48D8-4A96-88E4-C30BC4BCEF0C}" xr6:coauthVersionLast="47" xr6:coauthVersionMax="47" xr10:uidLastSave="{00000000-0000-0000-0000-000000000000}"/>
  <bookViews>
    <workbookView xWindow="-120" yWindow="-120" windowWidth="24240" windowHeight="13020" xr2:uid="{9C7498EB-626D-4094-AEF8-8275C70C9093}"/>
  </bookViews>
  <sheets>
    <sheet name="Sheet1" sheetId="1" r:id="rId1"/>
    <sheet name="Sheet5" sheetId="5" r:id="rId2"/>
    <sheet name="Sheet2" sheetId="2" r:id="rId3"/>
    <sheet name="Sheet3" sheetId="3" r:id="rId4"/>
    <sheet name="Sheet4" sheetId="4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3" l="1"/>
  <c r="J16" i="3"/>
  <c r="J17" i="3"/>
  <c r="J18" i="3"/>
  <c r="J19" i="3"/>
  <c r="J14" i="3"/>
  <c r="I16" i="3"/>
  <c r="I17" i="3"/>
  <c r="I18" i="3"/>
  <c r="I19" i="3"/>
  <c r="I15" i="3"/>
  <c r="I14" i="3"/>
  <c r="G15" i="3"/>
  <c r="G16" i="3"/>
  <c r="G17" i="3"/>
  <c r="G18" i="3"/>
  <c r="G19" i="3"/>
  <c r="G14" i="3"/>
  <c r="F15" i="3"/>
  <c r="F16" i="3"/>
  <c r="F17" i="3"/>
  <c r="F18" i="3"/>
  <c r="F19" i="3"/>
  <c r="F14" i="3"/>
  <c r="D19" i="3"/>
  <c r="D16" i="3"/>
  <c r="D17" i="3"/>
  <c r="D18" i="3"/>
  <c r="C16" i="3"/>
  <c r="C17" i="3"/>
  <c r="C18" i="3"/>
  <c r="C19" i="3"/>
  <c r="D15" i="3"/>
  <c r="C15" i="3"/>
  <c r="D14" i="3"/>
  <c r="C14" i="3"/>
  <c r="K2" i="3"/>
  <c r="S8" i="3"/>
  <c r="R8" i="3"/>
  <c r="Q8" i="3"/>
  <c r="M8" i="3"/>
  <c r="L8" i="3"/>
  <c r="K8" i="3"/>
  <c r="S7" i="3"/>
  <c r="R7" i="3"/>
  <c r="Q7" i="3"/>
  <c r="M7" i="3"/>
  <c r="L7" i="3"/>
  <c r="K7" i="3"/>
  <c r="S6" i="3"/>
  <c r="R6" i="3"/>
  <c r="Q6" i="3"/>
  <c r="M6" i="3"/>
  <c r="L6" i="3"/>
  <c r="K6" i="3"/>
  <c r="N6" i="3" s="1"/>
  <c r="T6" i="3" s="1"/>
  <c r="S5" i="3"/>
  <c r="R5" i="3"/>
  <c r="Q5" i="3"/>
  <c r="M5" i="3"/>
  <c r="L5" i="3"/>
  <c r="K5" i="3"/>
  <c r="N5" i="3" s="1"/>
  <c r="T5" i="3" s="1"/>
  <c r="S4" i="3"/>
  <c r="R4" i="3"/>
  <c r="Q4" i="3"/>
  <c r="M4" i="3"/>
  <c r="L4" i="3"/>
  <c r="K4" i="3"/>
  <c r="N4" i="3" s="1"/>
  <c r="T4" i="3" s="1"/>
  <c r="S3" i="3"/>
  <c r="R3" i="3"/>
  <c r="Q3" i="3"/>
  <c r="M3" i="3"/>
  <c r="L3" i="3"/>
  <c r="K3" i="3"/>
  <c r="N3" i="3" s="1"/>
  <c r="T3" i="3" s="1"/>
  <c r="M2" i="3"/>
  <c r="P8" i="3" s="1"/>
  <c r="V8" i="3" s="1"/>
  <c r="L2" i="3"/>
  <c r="N8" i="3" l="1"/>
  <c r="T8" i="3" s="1"/>
  <c r="N7" i="3"/>
  <c r="T7" i="3" s="1"/>
  <c r="O4" i="3"/>
  <c r="U4" i="3" s="1"/>
  <c r="O8" i="3"/>
  <c r="U8" i="3" s="1"/>
  <c r="P4" i="3"/>
  <c r="V4" i="3" s="1"/>
  <c r="P7" i="3"/>
  <c r="V7" i="3" s="1"/>
  <c r="O6" i="3"/>
  <c r="U6" i="3" s="1"/>
  <c r="P6" i="3"/>
  <c r="V6" i="3" s="1"/>
  <c r="P3" i="3"/>
  <c r="V3" i="3" s="1"/>
  <c r="O7" i="3"/>
  <c r="U7" i="3" s="1"/>
  <c r="O5" i="3"/>
  <c r="U5" i="3" s="1"/>
  <c r="P5" i="3"/>
  <c r="V5" i="3" s="1"/>
  <c r="O3" i="3"/>
  <c r="U3" i="3" s="1"/>
  <c r="C13" i="2"/>
  <c r="C12" i="2"/>
  <c r="C11" i="2"/>
  <c r="C9" i="2"/>
  <c r="C8" i="2"/>
  <c r="C6" i="2"/>
  <c r="C5" i="2"/>
  <c r="C4" i="2"/>
  <c r="C3" i="2"/>
  <c r="C7" i="2"/>
  <c r="C10" i="2"/>
  <c r="C2" i="2" l="1"/>
</calcChain>
</file>

<file path=xl/sharedStrings.xml><?xml version="1.0" encoding="utf-8"?>
<sst xmlns="http://schemas.openxmlformats.org/spreadsheetml/2006/main" count="111" uniqueCount="37">
  <si>
    <t>treatment</t>
  </si>
  <si>
    <t xml:space="preserve">    Cem CR_Fix Mod</t>
  </si>
  <si>
    <t xml:space="preserve">    Cem CR_Mob Mod</t>
  </si>
  <si>
    <t xml:space="preserve">    Cem PS_Fix Mod</t>
  </si>
  <si>
    <t xml:space="preserve">    Cem PS_Mob Mod</t>
  </si>
  <si>
    <t xml:space="preserve">    Unc CR_Fix Mod</t>
  </si>
  <si>
    <t xml:space="preserve">    Unc CR_Mob Mod</t>
  </si>
  <si>
    <t xml:space="preserve">    Hyb CR_Fix Mod</t>
  </si>
  <si>
    <t>mean1</t>
  </si>
  <si>
    <t>UL1</t>
  </si>
  <si>
    <t>LL1</t>
  </si>
  <si>
    <t>mean2</t>
  </si>
  <si>
    <t>UL2</t>
  </si>
  <si>
    <t>LL2</t>
  </si>
  <si>
    <t>mean3</t>
  </si>
  <si>
    <t>UL3</t>
  </si>
  <si>
    <t>LL3</t>
  </si>
  <si>
    <t>early</t>
  </si>
  <si>
    <t>average</t>
  </si>
  <si>
    <t>implant cost</t>
  </si>
  <si>
    <t>rank</t>
  </si>
  <si>
    <t>SE1</t>
  </si>
  <si>
    <t>SE2</t>
  </si>
  <si>
    <t>SE3</t>
  </si>
  <si>
    <t>SE1(LHR)</t>
  </si>
  <si>
    <t>SE2(LHR)</t>
  </si>
  <si>
    <t>SE3(LHR)</t>
  </si>
  <si>
    <t>mean[,1]</t>
  </si>
  <si>
    <t>mean[,2]</t>
  </si>
  <si>
    <t>mean[,3]</t>
  </si>
  <si>
    <t>precision[,1]</t>
  </si>
  <si>
    <t>precision[,2]</t>
  </si>
  <si>
    <t>precision[,3]</t>
  </si>
  <si>
    <t>NA</t>
  </si>
  <si>
    <t>Cemented</t>
  </si>
  <si>
    <t>Uncemented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</si>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</sst>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000000"/>
      <name val="Segoe U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3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BEDF-9AE3-427E-AA8B-CF334287C7CA}">
  <dimension ref="A1:J4"/>
  <sheetViews>
    <sheetView tabSelected="1" workbookViewId="0">
      <selection activeCell="K18" sqref="K18"/>
    </sheetView>
  </sheetViews>
  <sheetFormatPr defaultRowHeight="15" x14ac:dyDescent="0.25"/>
  <cols>
    <col min="1" max="1" width="19.7109375" customWidth="1"/>
  </cols>
  <sheetData>
    <row r="1" spans="1:10" x14ac:dyDescent="0.25">
      <c r="A1" t="s">
        <v>0</v>
      </c>
      <c r="B1" t="s">
        <v>8</v>
      </c>
      <c r="C1" t="s">
        <v>10</v>
      </c>
      <c r="D1" t="s">
        <v>9</v>
      </c>
      <c r="E1" t="s">
        <v>11</v>
      </c>
      <c r="F1" t="s">
        <v>13</v>
      </c>
      <c r="G1" t="s">
        <v>12</v>
      </c>
      <c r="H1" t="s">
        <v>14</v>
      </c>
      <c r="I1" t="s">
        <v>16</v>
      </c>
      <c r="J1" t="s">
        <v>15</v>
      </c>
    </row>
    <row r="2" spans="1:10" x14ac:dyDescent="0.25">
      <c r="A2" s="4" t="s">
        <v>34</v>
      </c>
      <c r="B2">
        <v>-5.6159999999999997</v>
      </c>
      <c r="C2" s="4">
        <v>-5.718</v>
      </c>
      <c r="D2" s="4">
        <v>-5.5140000000000002</v>
      </c>
      <c r="E2">
        <v>-6.0430000000000001</v>
      </c>
      <c r="F2" s="4">
        <v>-6.1230000000000002</v>
      </c>
      <c r="G2" s="4">
        <v>-5.9630000000000001</v>
      </c>
      <c r="H2">
        <v>-5.2439999999999998</v>
      </c>
      <c r="I2" s="4">
        <v>-5.5140000000000002</v>
      </c>
      <c r="J2" s="4">
        <v>-4.9740000000000002</v>
      </c>
    </row>
    <row r="3" spans="1:10" x14ac:dyDescent="0.25">
      <c r="A3" s="4" t="s">
        <v>35</v>
      </c>
      <c r="B3">
        <v>-5.18</v>
      </c>
      <c r="C3" s="4">
        <v>-5.23</v>
      </c>
      <c r="D3" s="4">
        <v>-5.13</v>
      </c>
      <c r="E3">
        <v>-6.16</v>
      </c>
      <c r="F3" s="4">
        <v>-6.2119999999999997</v>
      </c>
      <c r="G3" s="4">
        <v>-6.1079999999999997</v>
      </c>
      <c r="H3">
        <v>-5.9489999999999998</v>
      </c>
      <c r="I3" s="4">
        <v>-6.0869999999999997</v>
      </c>
      <c r="J3" s="4">
        <v>-5.8109999999999999</v>
      </c>
    </row>
    <row r="4" spans="1:10" x14ac:dyDescent="0.25">
      <c r="A4" s="4" t="s">
        <v>36</v>
      </c>
      <c r="B4">
        <v>-5.4029999999999996</v>
      </c>
      <c r="C4" s="4">
        <v>-5.5049999999999999</v>
      </c>
      <c r="D4" s="4">
        <v>-5.3010000000000002</v>
      </c>
      <c r="E4">
        <v>-6.2210000000000001</v>
      </c>
      <c r="F4" s="4">
        <v>-6.3239999999999998</v>
      </c>
      <c r="G4" s="4">
        <v>-6.1180000000000003</v>
      </c>
      <c r="H4">
        <v>-5.8579999999999997</v>
      </c>
      <c r="I4" s="4">
        <v>-6.1219999999999999</v>
      </c>
      <c r="J4" s="4">
        <v>-5.5940000000000003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B916-ED35-4329-932F-FA0BC797BC0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647A3-1213-46FF-901E-2A12425BBB1B}">
  <dimension ref="A1:E13"/>
  <sheetViews>
    <sheetView workbookViewId="0">
      <selection activeCell="A16" sqref="A16:XFD23"/>
    </sheetView>
  </sheetViews>
  <sheetFormatPr defaultRowHeight="15" x14ac:dyDescent="0.25"/>
  <sheetData>
    <row r="1" spans="1:5" x14ac:dyDescent="0.25">
      <c r="A1" t="s">
        <v>17</v>
      </c>
      <c r="B1" t="s">
        <v>20</v>
      </c>
      <c r="C1" t="s">
        <v>18</v>
      </c>
      <c r="D1" t="s">
        <v>20</v>
      </c>
      <c r="E1" t="s">
        <v>19</v>
      </c>
    </row>
    <row r="2" spans="1:5" x14ac:dyDescent="0.25">
      <c r="A2">
        <v>1.37561E-2</v>
      </c>
      <c r="C2" t="e">
        <f>AVERAGE(Sheet1!#REF!+Sheet1!#REF!+Sheet1!#REF!)</f>
        <v>#REF!</v>
      </c>
    </row>
    <row r="3" spans="1:5" x14ac:dyDescent="0.25">
      <c r="A3">
        <v>8.0309999999999999E-3</v>
      </c>
      <c r="B3">
        <v>1</v>
      </c>
      <c r="C3" t="e">
        <f>AVERAGE(Sheet1!#REF!+Sheet1!#REF!+Sheet1!#REF!)</f>
        <v>#REF!</v>
      </c>
      <c r="D3">
        <v>3</v>
      </c>
      <c r="E3">
        <v>950.21</v>
      </c>
    </row>
    <row r="4" spans="1:5" x14ac:dyDescent="0.25">
      <c r="A4">
        <v>1.0252300000000001E-2</v>
      </c>
      <c r="C4" t="e">
        <f>AVERAGE(Sheet1!#REF!+Sheet1!#REF!+Sheet1!#REF!)</f>
        <v>#REF!</v>
      </c>
      <c r="D4">
        <v>2</v>
      </c>
      <c r="E4">
        <v>1528.66</v>
      </c>
    </row>
    <row r="5" spans="1:5" x14ac:dyDescent="0.25">
      <c r="A5">
        <v>1.1299999999999999E-2</v>
      </c>
      <c r="C5" t="e">
        <f>AVERAGE(Sheet1!#REF!+Sheet1!#REF!+Sheet1!#REF!)</f>
        <v>#REF!</v>
      </c>
    </row>
    <row r="6" spans="1:5" x14ac:dyDescent="0.25">
      <c r="A6">
        <v>1.67502E-2</v>
      </c>
      <c r="C6" t="e">
        <f>AVERAGE(Sheet1!#REF!+Sheet1!#REF!+Sheet1!#REF!)</f>
        <v>#REF!</v>
      </c>
    </row>
    <row r="7" spans="1:5" x14ac:dyDescent="0.25">
      <c r="A7">
        <v>9.4219000000000004E-3</v>
      </c>
      <c r="C7" t="e">
        <f>AVERAGE(Sheet1!#REF!+Sheet1!#REF!+Sheet1!#REF!)</f>
        <v>#REF!</v>
      </c>
    </row>
    <row r="8" spans="1:5" x14ac:dyDescent="0.25">
      <c r="A8">
        <v>1.18785E-2</v>
      </c>
      <c r="C8" t="e">
        <f>AVERAGE(Sheet1!#REF!+Sheet1!#REF!+Sheet1!#REF!)</f>
        <v>#REF!</v>
      </c>
    </row>
    <row r="9" spans="1:5" x14ac:dyDescent="0.25">
      <c r="A9">
        <v>1.2919E-2</v>
      </c>
      <c r="C9" t="e">
        <f>AVERAGE(Sheet1!#REF!+Sheet1!#REF!+Sheet1!#REF!)</f>
        <v>#REF!</v>
      </c>
    </row>
    <row r="10" spans="1:5" x14ac:dyDescent="0.25">
      <c r="A10">
        <v>2.5009199999999999E-2</v>
      </c>
      <c r="C10" t="e">
        <f>AVERAGE(Sheet1!#REF!+Sheet1!#REF!+Sheet1!#REF!)</f>
        <v>#REF!</v>
      </c>
    </row>
    <row r="11" spans="1:5" x14ac:dyDescent="0.25">
      <c r="A11">
        <v>1.4410299999999999E-2</v>
      </c>
      <c r="C11" t="e">
        <f>AVERAGE(Sheet1!#REF!+Sheet1!#REF!+Sheet1!#REF!)</f>
        <v>#REF!</v>
      </c>
    </row>
    <row r="12" spans="1:5" x14ac:dyDescent="0.25">
      <c r="A12">
        <v>9.4769999999999993E-3</v>
      </c>
      <c r="C12" t="e">
        <f>AVERAGE(Sheet1!#REF!+Sheet1!#REF!+Sheet1!#REF!)</f>
        <v>#REF!</v>
      </c>
      <c r="D12">
        <v>1</v>
      </c>
      <c r="E12" s="1">
        <v>1152.57</v>
      </c>
    </row>
    <row r="13" spans="1:5" x14ac:dyDescent="0.25">
      <c r="A13">
        <v>1.31558E-2</v>
      </c>
      <c r="C13" t="e">
        <f>AVERAGE(Sheet1!#REF!+Sheet1!#REF!+Sheet1!#REF!)</f>
        <v>#REF!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0240-9FDF-4E85-95B5-3F2A9183444B}">
  <dimension ref="A1:V19"/>
  <sheetViews>
    <sheetView workbookViewId="0">
      <selection activeCell="E17" sqref="E17"/>
    </sheetView>
  </sheetViews>
  <sheetFormatPr defaultRowHeight="15" x14ac:dyDescent="0.25"/>
  <sheetData>
    <row r="1" spans="1:22" ht="15.75" thickBot="1" x14ac:dyDescent="0.3">
      <c r="A1" s="2"/>
      <c r="B1" t="s">
        <v>8</v>
      </c>
      <c r="C1" t="s">
        <v>10</v>
      </c>
      <c r="D1" t="s">
        <v>9</v>
      </c>
      <c r="E1" t="s">
        <v>11</v>
      </c>
      <c r="F1" t="s">
        <v>13</v>
      </c>
      <c r="G1" t="s">
        <v>12</v>
      </c>
      <c r="H1" t="s">
        <v>14</v>
      </c>
      <c r="I1" t="s">
        <v>16</v>
      </c>
      <c r="J1" t="s">
        <v>15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</row>
    <row r="2" spans="1:22" x14ac:dyDescent="0.25">
      <c r="A2" t="s">
        <v>1</v>
      </c>
      <c r="B2">
        <v>8.0309999999999999E-3</v>
      </c>
      <c r="C2">
        <v>7.3229999999999996E-3</v>
      </c>
      <c r="D2">
        <v>8.8074999999999994E-3</v>
      </c>
      <c r="E2">
        <v>6.7610999999999999E-3</v>
      </c>
      <c r="F2">
        <v>6.1358999999999997E-3</v>
      </c>
      <c r="G2">
        <v>7.45E-3</v>
      </c>
      <c r="H2">
        <v>7.9427999999999999E-3</v>
      </c>
      <c r="I2">
        <v>6.2401999999999996E-3</v>
      </c>
      <c r="J2">
        <v>1.01099E-2</v>
      </c>
      <c r="K2">
        <f>(D2-C2)/2*1.96</f>
        <v>1.4548099999999997E-3</v>
      </c>
      <c r="L2">
        <f>(G2-F2)/2*1.96</f>
        <v>1.2878180000000003E-3</v>
      </c>
      <c r="M2">
        <f>(J2-I2)/2*1.96</f>
        <v>3.7923060000000001E-3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</row>
    <row r="3" spans="1:22" x14ac:dyDescent="0.25">
      <c r="A3" t="s">
        <v>2</v>
      </c>
      <c r="B3">
        <v>1.0252300000000001E-2</v>
      </c>
      <c r="C3">
        <v>7.5766999999999996E-3</v>
      </c>
      <c r="D3">
        <v>1.3872799999999999E-2</v>
      </c>
      <c r="E3">
        <v>8.1515000000000008E-3</v>
      </c>
      <c r="F3">
        <v>6.2115E-3</v>
      </c>
      <c r="G3">
        <v>1.0697399999999999E-2</v>
      </c>
      <c r="H3">
        <v>3.4066999999999999E-3</v>
      </c>
      <c r="I3">
        <v>1.2786E-3</v>
      </c>
      <c r="J3">
        <v>9.077E-3</v>
      </c>
      <c r="K3">
        <f>(D3-C3)/2*1.96</f>
        <v>6.1701779999999993E-3</v>
      </c>
      <c r="L3">
        <f>(G3-F3)/2*1.96</f>
        <v>4.3961819999999993E-3</v>
      </c>
      <c r="M3">
        <f>(J3-I3)/2*1.96</f>
        <v>7.6424320000000002E-3</v>
      </c>
      <c r="N3">
        <f>SQRT(K3^2+K2^2)</f>
        <v>6.3393665841142196E-3</v>
      </c>
      <c r="O3">
        <f>SQRT(L3^2+L2^2)</f>
        <v>4.5809269125634379E-3</v>
      </c>
      <c r="P3">
        <f>SQRT(M3^2+M2^2)</f>
        <v>8.5316089732394556E-3</v>
      </c>
      <c r="Q3">
        <f>B3-B2</f>
        <v>2.2213000000000007E-3</v>
      </c>
      <c r="R3">
        <f>E3-E2</f>
        <v>1.3904000000000008E-3</v>
      </c>
      <c r="S3">
        <f>H3-H2</f>
        <v>-4.5360999999999995E-3</v>
      </c>
      <c r="T3">
        <f>1/(N3^2)</f>
        <v>24883.316723362139</v>
      </c>
      <c r="U3">
        <f>1/(O3^2)</f>
        <v>47653.332198638665</v>
      </c>
      <c r="V3">
        <f>1/(P3^2)</f>
        <v>13738.46195202556</v>
      </c>
    </row>
    <row r="4" spans="1:22" x14ac:dyDescent="0.25">
      <c r="A4" t="s">
        <v>3</v>
      </c>
      <c r="B4">
        <v>1.1299999999999999E-2</v>
      </c>
      <c r="C4">
        <v>9.8609000000000006E-3</v>
      </c>
      <c r="D4">
        <v>1.29491E-2</v>
      </c>
      <c r="E4">
        <v>9.2817999999999998E-3</v>
      </c>
      <c r="F4">
        <v>8.0663000000000002E-3</v>
      </c>
      <c r="G4">
        <v>1.06804E-2</v>
      </c>
      <c r="H4">
        <v>7.8268000000000001E-3</v>
      </c>
      <c r="I4">
        <v>5.2011000000000002E-3</v>
      </c>
      <c r="J4">
        <v>1.17781E-2</v>
      </c>
      <c r="K4">
        <f t="shared" ref="K4:K8" si="0">(D4-C4)/2*1.96</f>
        <v>3.0264359999999991E-3</v>
      </c>
      <c r="L4">
        <f t="shared" ref="L4:L8" si="1">(G4-F4)/2*1.96</f>
        <v>2.5618179999999996E-3</v>
      </c>
      <c r="M4">
        <f t="shared" ref="M4:M8" si="2">(J4-I4)/2*1.96</f>
        <v>6.4454599999999992E-3</v>
      </c>
      <c r="N4">
        <f>SQRT(K4^2+K2^2)</f>
        <v>3.3579438646582516E-3</v>
      </c>
      <c r="O4">
        <f>SQRT(L4^2+L2^2)</f>
        <v>2.8672960548656286E-3</v>
      </c>
      <c r="P4">
        <f>SQRT(M4^2+M2^2)</f>
        <v>7.4783380111650474E-3</v>
      </c>
      <c r="Q4">
        <f>B4-B2</f>
        <v>3.2689999999999993E-3</v>
      </c>
      <c r="R4">
        <f>E4-E2</f>
        <v>2.5206999999999999E-3</v>
      </c>
      <c r="S4">
        <f>H4-H2</f>
        <v>-1.1599999999999978E-4</v>
      </c>
      <c r="T4">
        <f t="shared" ref="T4:V8" si="3">1/(N4^2)</f>
        <v>88685.605728450639</v>
      </c>
      <c r="U4">
        <f t="shared" si="3"/>
        <v>121633.98227033774</v>
      </c>
      <c r="V4">
        <f t="shared" si="3"/>
        <v>17880.918281046601</v>
      </c>
    </row>
    <row r="5" spans="1:22" x14ac:dyDescent="0.25">
      <c r="A5" t="s">
        <v>4</v>
      </c>
      <c r="B5">
        <v>1.67502E-2</v>
      </c>
      <c r="C5">
        <v>1.17798E-2</v>
      </c>
      <c r="D5">
        <v>2.3817700000000001E-2</v>
      </c>
      <c r="E5">
        <v>6.3445000000000003E-3</v>
      </c>
      <c r="F5">
        <v>4.0932E-3</v>
      </c>
      <c r="G5">
        <v>9.8341000000000001E-3</v>
      </c>
      <c r="H5">
        <v>4.3619000000000002E-3</v>
      </c>
      <c r="I5">
        <v>1.4067999999999999E-3</v>
      </c>
      <c r="J5">
        <v>1.3524400000000001E-2</v>
      </c>
      <c r="K5">
        <f t="shared" si="0"/>
        <v>1.1797142E-2</v>
      </c>
      <c r="L5">
        <f t="shared" si="1"/>
        <v>5.6260820000000001E-3</v>
      </c>
      <c r="M5">
        <f t="shared" si="2"/>
        <v>1.1875248000000001E-2</v>
      </c>
      <c r="N5">
        <f>SQRT(K5^2+K2^2)</f>
        <v>1.1886506278308357E-2</v>
      </c>
      <c r="O5">
        <f>SQRT(L5^2+L2^2)</f>
        <v>5.7715919703187606E-3</v>
      </c>
      <c r="P5">
        <f>SQRT(M5^2+M2^2)</f>
        <v>1.2466077966190491E-2</v>
      </c>
      <c r="Q5">
        <f>B5-B2</f>
        <v>8.7191999999999999E-3</v>
      </c>
      <c r="R5">
        <f>E5-E2</f>
        <v>-4.1659999999999961E-4</v>
      </c>
      <c r="S5">
        <f>H5-H2</f>
        <v>-3.5808999999999997E-3</v>
      </c>
      <c r="T5">
        <f t="shared" si="3"/>
        <v>7077.6902449771605</v>
      </c>
      <c r="U5">
        <f t="shared" si="3"/>
        <v>30019.866662773278</v>
      </c>
      <c r="V5">
        <f t="shared" si="3"/>
        <v>6434.8780745455952</v>
      </c>
    </row>
    <row r="6" spans="1:22" x14ac:dyDescent="0.25">
      <c r="A6" t="s">
        <v>5</v>
      </c>
      <c r="B6">
        <v>1.18785E-2</v>
      </c>
      <c r="C6">
        <v>7.7447999999999996E-3</v>
      </c>
      <c r="D6">
        <v>1.82183E-2</v>
      </c>
      <c r="E6">
        <v>6.0996999999999996E-3</v>
      </c>
      <c r="F6">
        <v>3.7369E-3</v>
      </c>
      <c r="G6">
        <v>9.9565000000000001E-3</v>
      </c>
      <c r="H6">
        <v>8.3666999999999995E-3</v>
      </c>
      <c r="I6">
        <v>3.4824999999999999E-3</v>
      </c>
      <c r="J6">
        <v>2.0101299999999999E-2</v>
      </c>
      <c r="K6">
        <f t="shared" si="0"/>
        <v>1.026403E-2</v>
      </c>
      <c r="L6">
        <f t="shared" si="1"/>
        <v>6.0952080000000004E-3</v>
      </c>
      <c r="M6">
        <f t="shared" si="2"/>
        <v>1.6286424000000001E-2</v>
      </c>
      <c r="N6">
        <f>SQRT(K6^2+K2^2)</f>
        <v>1.0366618734042456E-2</v>
      </c>
      <c r="O6">
        <f>SQRT(L6^2+L2^2)</f>
        <v>6.2297701213117011E-3</v>
      </c>
      <c r="P6">
        <f>SQRT(M6^2+M2^2)</f>
        <v>1.6722116836854477E-2</v>
      </c>
      <c r="Q6">
        <f>B6-B2</f>
        <v>3.8475000000000002E-3</v>
      </c>
      <c r="R6">
        <f>E6-E2</f>
        <v>-6.6140000000000036E-4</v>
      </c>
      <c r="S6">
        <f>H6-H2</f>
        <v>4.2389999999999962E-4</v>
      </c>
      <c r="T6">
        <f t="shared" si="3"/>
        <v>9305.200760581236</v>
      </c>
      <c r="U6">
        <f t="shared" si="3"/>
        <v>25766.531267090391</v>
      </c>
      <c r="V6">
        <f t="shared" si="3"/>
        <v>3576.1645435385303</v>
      </c>
    </row>
    <row r="7" spans="1:22" x14ac:dyDescent="0.25">
      <c r="A7" t="s">
        <v>6</v>
      </c>
      <c r="B7">
        <v>1.2919E-2</v>
      </c>
      <c r="C7">
        <v>9.136E-3</v>
      </c>
      <c r="D7">
        <v>1.82685E-2</v>
      </c>
      <c r="E7">
        <v>6.4745000000000002E-3</v>
      </c>
      <c r="F7">
        <v>4.3749000000000001E-3</v>
      </c>
      <c r="G7">
        <v>9.5819000000000008E-3</v>
      </c>
      <c r="H7">
        <v>1.13781E-2</v>
      </c>
      <c r="I7">
        <v>5.9201999999999996E-3</v>
      </c>
      <c r="J7">
        <v>2.18677E-2</v>
      </c>
      <c r="K7">
        <f t="shared" si="0"/>
        <v>8.9498500000000005E-3</v>
      </c>
      <c r="L7">
        <f t="shared" si="1"/>
        <v>5.1028600000000007E-3</v>
      </c>
      <c r="M7">
        <f t="shared" si="2"/>
        <v>1.5628549999999998E-2</v>
      </c>
      <c r="N7">
        <f>SQRT(K7^2+K2^2)</f>
        <v>9.0673197340007811E-3</v>
      </c>
      <c r="O7">
        <f>SQRT(L7^2+L2^2)</f>
        <v>5.2628561998903228E-3</v>
      </c>
      <c r="P7">
        <f>SQRT(M7^2+M2^2)</f>
        <v>1.6082075733565487E-2</v>
      </c>
      <c r="Q7">
        <f>B7-B2</f>
        <v>4.888E-3</v>
      </c>
      <c r="R7">
        <f>E7-E2</f>
        <v>-2.865999999999997E-4</v>
      </c>
      <c r="S7">
        <f>H7-H2</f>
        <v>3.4353000000000005E-3</v>
      </c>
      <c r="T7">
        <f t="shared" si="3"/>
        <v>12163.040129396039</v>
      </c>
      <c r="U7">
        <f t="shared" si="3"/>
        <v>36104.139005785415</v>
      </c>
      <c r="V7">
        <f t="shared" si="3"/>
        <v>3866.4802316382111</v>
      </c>
    </row>
    <row r="8" spans="1:22" x14ac:dyDescent="0.25">
      <c r="A8" t="s">
        <v>7</v>
      </c>
      <c r="B8">
        <v>1.4410299999999999E-2</v>
      </c>
      <c r="C8">
        <v>7.2065999999999996E-3</v>
      </c>
      <c r="D8">
        <v>2.88151E-2</v>
      </c>
      <c r="E8">
        <v>7.0661999999999999E-3</v>
      </c>
      <c r="F8">
        <v>3.3687000000000001E-3</v>
      </c>
      <c r="G8">
        <v>1.4822E-2</v>
      </c>
      <c r="H8">
        <v>7.2214000000000002E-3</v>
      </c>
      <c r="I8">
        <v>1.8060999999999999E-3</v>
      </c>
      <c r="J8">
        <v>2.8874500000000001E-2</v>
      </c>
      <c r="K8">
        <f t="shared" si="0"/>
        <v>2.117633E-2</v>
      </c>
      <c r="L8">
        <f t="shared" si="1"/>
        <v>1.1224234E-2</v>
      </c>
      <c r="M8">
        <f t="shared" si="2"/>
        <v>2.6527031999999999E-2</v>
      </c>
      <c r="N8">
        <f>SQRT(K8^2+K2^2)</f>
        <v>2.1226243765796151E-2</v>
      </c>
      <c r="O8">
        <f>SQRT(L8^2+L2^2)</f>
        <v>1.1297871661860919E-2</v>
      </c>
      <c r="P8">
        <f>SQRT(M8^2+M2^2)</f>
        <v>2.679673509080276E-2</v>
      </c>
      <c r="Q8">
        <f>B8-B2</f>
        <v>6.3792999999999992E-3</v>
      </c>
      <c r="R8">
        <f>E8-E2</f>
        <v>3.0509999999999999E-4</v>
      </c>
      <c r="S8">
        <f>H8-H2</f>
        <v>-7.2139999999999965E-4</v>
      </c>
      <c r="T8">
        <f t="shared" si="3"/>
        <v>2219.4926191507657</v>
      </c>
      <c r="U8">
        <f t="shared" si="3"/>
        <v>7834.4177576002885</v>
      </c>
      <c r="V8">
        <f t="shared" si="3"/>
        <v>1392.6315639219422</v>
      </c>
    </row>
    <row r="12" spans="1:22" x14ac:dyDescent="0.25">
      <c r="B12" t="s">
        <v>8</v>
      </c>
      <c r="C12" t="s">
        <v>10</v>
      </c>
      <c r="D12" t="s">
        <v>9</v>
      </c>
      <c r="E12" t="s">
        <v>11</v>
      </c>
      <c r="F12" t="s">
        <v>13</v>
      </c>
      <c r="G12" t="s">
        <v>12</v>
      </c>
      <c r="H12" t="s">
        <v>14</v>
      </c>
      <c r="I12" t="s">
        <v>16</v>
      </c>
      <c r="J12" t="s">
        <v>15</v>
      </c>
    </row>
    <row r="13" spans="1:22" x14ac:dyDescent="0.25">
      <c r="A13" t="s">
        <v>1</v>
      </c>
      <c r="B13" t="s">
        <v>33</v>
      </c>
      <c r="C13" t="s">
        <v>33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 t="s">
        <v>33</v>
      </c>
      <c r="J13" t="s">
        <v>33</v>
      </c>
    </row>
    <row r="14" spans="1:22" x14ac:dyDescent="0.25">
      <c r="A14" t="s">
        <v>2</v>
      </c>
      <c r="B14">
        <v>2.2213000000000007E-3</v>
      </c>
      <c r="C14">
        <f>B14-1.96*N3</f>
        <v>-1.0203858504863869E-2</v>
      </c>
      <c r="D14">
        <f>B14+1.96*N3</f>
        <v>1.4646458504863871E-2</v>
      </c>
      <c r="E14">
        <v>1.3904000000000008E-3</v>
      </c>
      <c r="F14">
        <f>E14-1.96*O3</f>
        <v>-7.5882167486243371E-3</v>
      </c>
      <c r="G14">
        <f>E14+1.96*O3</f>
        <v>1.0369016748624338E-2</v>
      </c>
      <c r="H14">
        <v>-4.5360999999999995E-3</v>
      </c>
      <c r="I14">
        <f>H14-1.96*P3</f>
        <v>-2.1258053587549335E-2</v>
      </c>
      <c r="J14">
        <f>H14+1.96*P3</f>
        <v>1.2185853587549334E-2</v>
      </c>
    </row>
    <row r="15" spans="1:22" x14ac:dyDescent="0.25">
      <c r="A15" t="s">
        <v>3</v>
      </c>
      <c r="B15">
        <v>3.2689999999999993E-3</v>
      </c>
      <c r="C15">
        <f>B15-1.96*N4</f>
        <v>-3.3125699747301738E-3</v>
      </c>
      <c r="D15">
        <f>B15+1.96*N4</f>
        <v>9.8505699747301716E-3</v>
      </c>
      <c r="E15">
        <v>2.5206999999999999E-3</v>
      </c>
      <c r="F15">
        <f t="shared" ref="F15:F19" si="4">E15-1.96*O4</f>
        <v>-3.0992002675366325E-3</v>
      </c>
      <c r="G15">
        <f t="shared" ref="G15:G19" si="5">E15+1.96*O4</f>
        <v>8.140600267536633E-3</v>
      </c>
      <c r="H15">
        <v>-1.1599999999999978E-4</v>
      </c>
      <c r="I15">
        <f>H15-1.96*P4</f>
        <v>-1.4773542501883492E-2</v>
      </c>
      <c r="J15">
        <f t="shared" ref="J15:J19" si="6">H15+1.96*P4</f>
        <v>1.4541542501883492E-2</v>
      </c>
    </row>
    <row r="16" spans="1:22" x14ac:dyDescent="0.25">
      <c r="A16" t="s">
        <v>4</v>
      </c>
      <c r="B16">
        <v>8.7191999999999999E-3</v>
      </c>
      <c r="C16">
        <f t="shared" ref="C16:C19" si="7">B16-1.96*N5</f>
        <v>-1.457835230548438E-2</v>
      </c>
      <c r="D16">
        <f t="shared" ref="D16:D18" si="8">B16+1.96*N5</f>
        <v>3.2016752305484383E-2</v>
      </c>
      <c r="E16">
        <v>-4.1659999999999961E-4</v>
      </c>
      <c r="F16">
        <f t="shared" si="4"/>
        <v>-1.1728920261824771E-2</v>
      </c>
      <c r="G16">
        <f t="shared" si="5"/>
        <v>1.0895720261824771E-2</v>
      </c>
      <c r="H16">
        <v>-3.5808999999999997E-3</v>
      </c>
      <c r="I16">
        <f t="shared" ref="I16:I19" si="9">H16-1.96*P5</f>
        <v>-2.8014412813733361E-2</v>
      </c>
      <c r="J16">
        <f t="shared" si="6"/>
        <v>2.0852612813733365E-2</v>
      </c>
    </row>
    <row r="17" spans="1:10" x14ac:dyDescent="0.25">
      <c r="A17" t="s">
        <v>5</v>
      </c>
      <c r="B17">
        <v>3.8475000000000002E-3</v>
      </c>
      <c r="C17">
        <f t="shared" si="7"/>
        <v>-1.6471072718723213E-2</v>
      </c>
      <c r="D17">
        <f t="shared" si="8"/>
        <v>2.4166072718723213E-2</v>
      </c>
      <c r="E17">
        <v>-6.6140000000000036E-4</v>
      </c>
      <c r="F17">
        <f t="shared" si="4"/>
        <v>-1.2871749437770936E-2</v>
      </c>
      <c r="G17">
        <f t="shared" si="5"/>
        <v>1.1548949437770933E-2</v>
      </c>
      <c r="H17">
        <v>4.2389999999999962E-4</v>
      </c>
      <c r="I17">
        <f t="shared" si="9"/>
        <v>-3.2351449000234775E-2</v>
      </c>
      <c r="J17">
        <f t="shared" si="6"/>
        <v>3.3199249000234771E-2</v>
      </c>
    </row>
    <row r="18" spans="1:10" x14ac:dyDescent="0.25">
      <c r="A18" t="s">
        <v>6</v>
      </c>
      <c r="B18">
        <v>4.888E-3</v>
      </c>
      <c r="C18">
        <f t="shared" si="7"/>
        <v>-1.2883946678641532E-2</v>
      </c>
      <c r="D18">
        <f t="shared" si="8"/>
        <v>2.2659946678641532E-2</v>
      </c>
      <c r="E18">
        <v>-2.865999999999997E-4</v>
      </c>
      <c r="F18">
        <f t="shared" si="4"/>
        <v>-1.0601798151785032E-2</v>
      </c>
      <c r="G18">
        <f t="shared" si="5"/>
        <v>1.0028598151785032E-2</v>
      </c>
      <c r="H18">
        <v>3.4353000000000005E-3</v>
      </c>
      <c r="I18">
        <f t="shared" si="9"/>
        <v>-2.8085568437788352E-2</v>
      </c>
      <c r="J18">
        <f t="shared" si="6"/>
        <v>3.4956168437788357E-2</v>
      </c>
    </row>
    <row r="19" spans="1:10" x14ac:dyDescent="0.25">
      <c r="A19" t="s">
        <v>7</v>
      </c>
      <c r="B19">
        <v>6.3792999999999992E-3</v>
      </c>
      <c r="C19">
        <f t="shared" si="7"/>
        <v>-3.5224137780960459E-2</v>
      </c>
      <c r="D19">
        <f>B19+1.96*N8</f>
        <v>4.7982737780960454E-2</v>
      </c>
      <c r="E19">
        <v>3.0509999999999999E-4</v>
      </c>
      <c r="F19">
        <f t="shared" si="4"/>
        <v>-2.1838728457247401E-2</v>
      </c>
      <c r="G19">
        <f t="shared" si="5"/>
        <v>2.24489284572474E-2</v>
      </c>
      <c r="H19">
        <v>-7.2139999999999965E-4</v>
      </c>
      <c r="I19">
        <f t="shared" si="9"/>
        <v>-5.3243000777973407E-2</v>
      </c>
      <c r="J19">
        <f t="shared" si="6"/>
        <v>5.1800200777973412E-2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0CB2-C98E-4088-BE68-07ABC4D883E6}">
  <dimension ref="A1:J8"/>
  <sheetViews>
    <sheetView workbookViewId="0">
      <selection sqref="A1:J8"/>
    </sheetView>
  </sheetViews>
  <sheetFormatPr defaultRowHeight="15" x14ac:dyDescent="0.25"/>
  <cols>
    <col min="1" max="1" width="22.85546875" customWidth="1"/>
  </cols>
  <sheetData>
    <row r="1" spans="1:10" x14ac:dyDescent="0.25">
      <c r="A1" t="s">
        <v>0</v>
      </c>
      <c r="B1" t="s">
        <v>8</v>
      </c>
      <c r="C1" t="s">
        <v>10</v>
      </c>
      <c r="D1" t="s">
        <v>9</v>
      </c>
      <c r="E1" t="s">
        <v>11</v>
      </c>
      <c r="F1" t="s">
        <v>13</v>
      </c>
      <c r="G1" t="s">
        <v>12</v>
      </c>
      <c r="H1" t="s">
        <v>14</v>
      </c>
      <c r="I1" t="s">
        <v>16</v>
      </c>
      <c r="J1" t="s">
        <v>15</v>
      </c>
    </row>
    <row r="2" spans="1:10" x14ac:dyDescent="0.25">
      <c r="A2" s="3" t="s">
        <v>1</v>
      </c>
      <c r="B2">
        <v>-2.0952303740934051</v>
      </c>
      <c r="C2">
        <v>-2.1353109658631491</v>
      </c>
      <c r="D2">
        <v>-2.0551473481467197</v>
      </c>
      <c r="E2">
        <v>-2.1699826405870271</v>
      </c>
      <c r="F2">
        <v>-2.2121217269277333</v>
      </c>
      <c r="G2">
        <v>-2.1278437272517072</v>
      </c>
      <c r="H2">
        <v>-2.1000263728641713</v>
      </c>
      <c r="I2">
        <v>-2.2048014908457105</v>
      </c>
      <c r="J2">
        <v>-1.9952531401224487</v>
      </c>
    </row>
    <row r="3" spans="1:10" x14ac:dyDescent="0.25">
      <c r="A3" s="3" t="s">
        <v>2</v>
      </c>
      <c r="B3">
        <v>-2.0848703740934051</v>
      </c>
      <c r="C3">
        <v>-3.9716415457560132</v>
      </c>
      <c r="D3">
        <v>-0.19809920243079704</v>
      </c>
      <c r="E3">
        <v>-1.7617826405870272</v>
      </c>
      <c r="F3">
        <v>-7.3395586979263046</v>
      </c>
      <c r="G3">
        <v>3.8159934167522502</v>
      </c>
      <c r="H3">
        <v>-1.6905263728641713</v>
      </c>
      <c r="I3">
        <v>-14.126184398839762</v>
      </c>
      <c r="J3">
        <v>10.745131653111418</v>
      </c>
    </row>
    <row r="4" spans="1:10" x14ac:dyDescent="0.25">
      <c r="A4" s="3" t="s">
        <v>3</v>
      </c>
      <c r="B4">
        <v>-2.3325303740934049</v>
      </c>
      <c r="C4">
        <v>-4.9440942903556682</v>
      </c>
      <c r="D4">
        <v>0.2790335421688579</v>
      </c>
      <c r="E4">
        <v>-1.713082640587027</v>
      </c>
      <c r="F4">
        <v>-9.6348712551598599</v>
      </c>
      <c r="G4">
        <v>6.2087059739858059</v>
      </c>
      <c r="H4">
        <v>-2.4453263728641712</v>
      </c>
      <c r="I4">
        <v>-13.245946421016384</v>
      </c>
      <c r="J4">
        <v>8.355293675288042</v>
      </c>
    </row>
    <row r="5" spans="1:10" x14ac:dyDescent="0.25">
      <c r="A5" s="3" t="s">
        <v>4</v>
      </c>
      <c r="B5">
        <v>-2.3222303740934049</v>
      </c>
      <c r="C5">
        <v>-5.4805286388327819</v>
      </c>
      <c r="D5">
        <v>0.83606789064597198</v>
      </c>
      <c r="E5">
        <v>-1.4355826405870271</v>
      </c>
      <c r="F5">
        <v>-9.8607332349949335</v>
      </c>
      <c r="G5">
        <v>6.9895679538208793</v>
      </c>
      <c r="H5">
        <v>-0.68902637286417123</v>
      </c>
      <c r="I5">
        <v>-13.984200164404879</v>
      </c>
      <c r="J5">
        <v>12.606147418676535</v>
      </c>
    </row>
    <row r="6" spans="1:10" x14ac:dyDescent="0.25">
      <c r="A6" s="3" t="s">
        <v>5</v>
      </c>
      <c r="B6">
        <v>-2.1133403740934051</v>
      </c>
      <c r="C6">
        <v>-4.7075683252156217</v>
      </c>
      <c r="D6">
        <v>0.48088757702881102</v>
      </c>
      <c r="E6">
        <v>-2.3408826405870271</v>
      </c>
      <c r="F6">
        <v>-5.6619366627354282</v>
      </c>
      <c r="G6">
        <v>0.98017138156137396</v>
      </c>
      <c r="H6">
        <v>-3.1380263728641715</v>
      </c>
      <c r="I6">
        <v>-7.8108199578991817</v>
      </c>
      <c r="J6">
        <v>1.5347672121708387</v>
      </c>
    </row>
    <row r="7" spans="1:10" x14ac:dyDescent="0.25">
      <c r="A7" s="3" t="s">
        <v>6</v>
      </c>
      <c r="B7">
        <v>-2.1029803740934052</v>
      </c>
      <c r="C7">
        <v>-5.0019416248933712</v>
      </c>
      <c r="D7">
        <v>0.79598087670656081</v>
      </c>
      <c r="E7">
        <v>-2.174023640587027</v>
      </c>
      <c r="F7">
        <v>-12.764322754274069</v>
      </c>
      <c r="G7">
        <v>8.4162754731000149</v>
      </c>
      <c r="H7">
        <v>-2.1054973728641713</v>
      </c>
      <c r="I7">
        <v>-17.096317065250364</v>
      </c>
      <c r="J7">
        <v>12.885322319522022</v>
      </c>
    </row>
    <row r="8" spans="1:10" x14ac:dyDescent="0.25">
      <c r="A8" s="3" t="s">
        <v>7</v>
      </c>
      <c r="B8">
        <v>-1.7142303740934051</v>
      </c>
      <c r="C8">
        <v>-6.8561922162508555</v>
      </c>
      <c r="D8">
        <v>3.4277314680640458</v>
      </c>
      <c r="E8">
        <v>-2.4098826405870271</v>
      </c>
      <c r="F8">
        <v>-10.564532383128769</v>
      </c>
      <c r="G8">
        <v>5.7447671019547162</v>
      </c>
      <c r="H8">
        <v>-2.4976263728641714</v>
      </c>
      <c r="I8">
        <v>-15.326212936529544</v>
      </c>
      <c r="J8">
        <v>10.3309601908012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1899-4EFB-49FA-A16C-1855E6749BFE}">
  <dimension ref="A1:J8"/>
  <sheetViews>
    <sheetView workbookViewId="0">
      <selection activeCell="K7" sqref="K7"/>
    </sheetView>
  </sheetViews>
  <sheetFormatPr defaultRowHeight="15" x14ac:dyDescent="0.25"/>
  <cols>
    <col min="1" max="1" width="21.7109375" customWidth="1"/>
    <col min="2" max="2" width="18.85546875" customWidth="1"/>
  </cols>
  <sheetData>
    <row r="1" spans="1:10" ht="15.75" thickBot="1" x14ac:dyDescent="0.3">
      <c r="A1" s="2" t="s">
        <v>0</v>
      </c>
      <c r="B1" t="s">
        <v>8</v>
      </c>
      <c r="C1" t="s">
        <v>10</v>
      </c>
      <c r="D1" t="s">
        <v>9</v>
      </c>
      <c r="E1" t="s">
        <v>11</v>
      </c>
      <c r="F1" t="s">
        <v>13</v>
      </c>
      <c r="G1" t="s">
        <v>12</v>
      </c>
      <c r="H1" t="s">
        <v>14</v>
      </c>
      <c r="I1" t="s">
        <v>16</v>
      </c>
      <c r="J1" t="s">
        <v>15</v>
      </c>
    </row>
    <row r="2" spans="1:10" x14ac:dyDescent="0.25">
      <c r="A2" s="3" t="s">
        <v>1</v>
      </c>
      <c r="B2">
        <v>-2.0952303740934051</v>
      </c>
      <c r="C2">
        <v>-2.1353109658631491</v>
      </c>
      <c r="D2">
        <v>-2.0551473481467197</v>
      </c>
      <c r="E2">
        <v>-2.1699826405870271</v>
      </c>
      <c r="F2">
        <v>-2.2121217269277333</v>
      </c>
      <c r="G2">
        <v>-2.1278437272517072</v>
      </c>
      <c r="H2">
        <v>-2.1000263728641713</v>
      </c>
      <c r="I2">
        <v>-2.2048014908457105</v>
      </c>
      <c r="J2">
        <v>-1.9952531401224487</v>
      </c>
    </row>
    <row r="3" spans="1:10" x14ac:dyDescent="0.25">
      <c r="A3" s="3" t="s">
        <v>2</v>
      </c>
      <c r="B3">
        <v>-1.5980303740934052</v>
      </c>
      <c r="C3">
        <v>-3.5985129057560132</v>
      </c>
      <c r="D3">
        <v>0.40245215756920283</v>
      </c>
      <c r="E3">
        <v>-2.072962640587027</v>
      </c>
      <c r="F3">
        <v>-3.6539380579263057</v>
      </c>
      <c r="G3">
        <v>-0.49198722324774846</v>
      </c>
      <c r="H3">
        <v>-1.9599263728641714</v>
      </c>
      <c r="I3">
        <v>-6.7755787188397623</v>
      </c>
      <c r="J3">
        <v>2.8557259731114191</v>
      </c>
    </row>
    <row r="4" spans="1:10" x14ac:dyDescent="0.25">
      <c r="A4" s="3" t="s">
        <v>3</v>
      </c>
      <c r="B4">
        <v>-1.928730374093405</v>
      </c>
      <c r="C4">
        <v>-3.1202852663556682</v>
      </c>
      <c r="D4">
        <v>-0.73717548183114179</v>
      </c>
      <c r="E4">
        <v>-1.8733826405870271</v>
      </c>
      <c r="F4">
        <v>-2.9087575111598616</v>
      </c>
      <c r="G4">
        <v>-0.8380077700141928</v>
      </c>
      <c r="H4">
        <v>-2.0758863728641712</v>
      </c>
      <c r="I4">
        <v>-5.0882386610163834</v>
      </c>
      <c r="J4">
        <v>0.93646591528804102</v>
      </c>
    </row>
    <row r="5" spans="1:10" x14ac:dyDescent="0.25">
      <c r="A5" s="3" t="s">
        <v>4</v>
      </c>
      <c r="B5">
        <v>-2.2333303740934052</v>
      </c>
      <c r="C5">
        <v>-4.6067897588327824</v>
      </c>
      <c r="D5">
        <v>0.14012901064597205</v>
      </c>
      <c r="E5">
        <v>-2.0797826405870272</v>
      </c>
      <c r="F5">
        <v>-4.1885745149949329</v>
      </c>
      <c r="G5">
        <v>2.9009233820878944E-2</v>
      </c>
      <c r="H5">
        <v>-1.8361263728641712</v>
      </c>
      <c r="I5">
        <v>-6.8541888044048775</v>
      </c>
      <c r="J5">
        <v>3.1819360586765346</v>
      </c>
    </row>
    <row r="6" spans="1:10" x14ac:dyDescent="0.25">
      <c r="A6" s="3" t="s">
        <v>5</v>
      </c>
      <c r="B6">
        <v>-1.8896303740934051</v>
      </c>
      <c r="C6">
        <v>-4.2958120052156215</v>
      </c>
      <c r="D6">
        <v>0.51655125702881088</v>
      </c>
      <c r="E6">
        <v>-2.1418026405870272</v>
      </c>
      <c r="F6">
        <v>-4.3906661027354286</v>
      </c>
      <c r="G6">
        <v>0.1070608215613742</v>
      </c>
      <c r="H6">
        <v>-2.9677263728641714</v>
      </c>
      <c r="I6">
        <v>-7.003006437899181</v>
      </c>
      <c r="J6">
        <v>1.0675536921708382</v>
      </c>
    </row>
    <row r="7" spans="1:10" x14ac:dyDescent="0.25">
      <c r="A7" s="3" t="s">
        <v>6</v>
      </c>
      <c r="B7">
        <v>-2.0054603740934049</v>
      </c>
      <c r="C7">
        <v>-4.8996196248933703</v>
      </c>
      <c r="D7">
        <v>0.88869887670656089</v>
      </c>
      <c r="E7">
        <v>-1.910282640587027</v>
      </c>
      <c r="F7">
        <v>-4.1773711942740688</v>
      </c>
      <c r="G7">
        <v>0.35680591310001475</v>
      </c>
      <c r="H7">
        <v>-2.6307263728641712</v>
      </c>
      <c r="I7">
        <v>-6.8996404652503642</v>
      </c>
      <c r="J7">
        <v>1.6381877195220214</v>
      </c>
    </row>
    <row r="8" spans="1:10" x14ac:dyDescent="0.25">
      <c r="A8" s="3" t="s">
        <v>7</v>
      </c>
      <c r="B8">
        <v>-1.6855303740934051</v>
      </c>
      <c r="C8">
        <v>-6.9922968562508547</v>
      </c>
      <c r="D8">
        <v>3.6212361080640445</v>
      </c>
      <c r="E8">
        <v>-2.1795496405870272</v>
      </c>
      <c r="F8">
        <v>-6.0972987431287695</v>
      </c>
      <c r="G8">
        <v>1.7381994619547152</v>
      </c>
      <c r="H8">
        <v>-1.9461263728641713</v>
      </c>
      <c r="I8">
        <v>-12.425574536529544</v>
      </c>
      <c r="J8">
        <v>8.5333217908012013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Sheet5</vt:lpstr>
      <vt:lpstr>Sheet2</vt:lpstr>
      <vt:lpstr>Sheet3</vt:lpstr>
      <vt:lpstr>Sheet4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Yixin Xu</dc:creator>
  <cp:lastModifiedBy>Yixin Xu</cp:lastModifiedBy>
  <dcterms:created xsi:type="dcterms:W3CDTF">2021-07-12T22:12:20Z</dcterms:created>
  <dcterms:modified xsi:type="dcterms:W3CDTF">2026-04-24T18:38:16Z</dcterms:modified>
</cp:coreProperties>
</file>