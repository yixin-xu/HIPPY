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x18392\Desktop\HIPPY\semi Markov data\"/>
    </mc:Choice>
  </mc:AlternateContent>
  <xr:revisionPtr revIDLastSave="0" documentId="13_ncr:1_{95C601DB-13A7-44E7-A261-B3EA0DC69314}" xr6:coauthVersionLast="47" xr6:coauthVersionMax="47" xr10:uidLastSave="{00000000-0000-0000-0000-000000000000}"/>
  <bookViews>
    <workbookView xWindow="-120" yWindow="-120" windowWidth="24240" windowHeight="13020" xr2:uid="{4A7B2C5C-1C56-4FB1-B9D0-63B3F7ADE936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3" l="1"/>
  <c r="J19" i="3"/>
  <c r="I19" i="3"/>
  <c r="H19" i="3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G13" i="3"/>
  <c r="D13" i="3"/>
  <c r="C13" i="3"/>
  <c r="B18" i="3"/>
  <c r="E19" i="3"/>
  <c r="E18" i="3"/>
  <c r="E17" i="3"/>
  <c r="E16" i="3"/>
  <c r="E15" i="3"/>
  <c r="B15" i="3"/>
  <c r="E14" i="3"/>
  <c r="J13" i="3"/>
  <c r="I13" i="3"/>
  <c r="H13" i="3"/>
  <c r="F13" i="3"/>
  <c r="E13" i="3"/>
  <c r="B17" i="3" l="1"/>
  <c r="B14" i="3"/>
  <c r="B13" i="3"/>
  <c r="B19" i="3"/>
  <c r="M28" i="3" l="1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R8" i="3"/>
  <c r="Q8" i="3"/>
  <c r="M8" i="3"/>
  <c r="L8" i="3"/>
  <c r="K8" i="3"/>
  <c r="D19" i="3" s="1"/>
  <c r="R7" i="3"/>
  <c r="Q7" i="3"/>
  <c r="M7" i="3"/>
  <c r="P7" i="3" s="1"/>
  <c r="L7" i="3"/>
  <c r="K7" i="3"/>
  <c r="R6" i="3"/>
  <c r="Q6" i="3"/>
  <c r="M6" i="3"/>
  <c r="P6" i="3" s="1"/>
  <c r="L6" i="3"/>
  <c r="K6" i="3"/>
  <c r="D17" i="3" s="1"/>
  <c r="R5" i="3"/>
  <c r="Q5" i="3"/>
  <c r="M5" i="3"/>
  <c r="L5" i="3"/>
  <c r="K5" i="3"/>
  <c r="R4" i="3"/>
  <c r="Q4" i="3"/>
  <c r="M4" i="3"/>
  <c r="L4" i="3"/>
  <c r="K4" i="3"/>
  <c r="R3" i="3"/>
  <c r="Q3" i="3"/>
  <c r="M3" i="3"/>
  <c r="P3" i="3" s="1"/>
  <c r="L3" i="3"/>
  <c r="K3" i="3"/>
  <c r="D14" i="3" s="1"/>
  <c r="M2" i="3"/>
  <c r="L2" i="3"/>
  <c r="K2" i="3"/>
  <c r="K16" i="2"/>
  <c r="L16" i="2"/>
  <c r="M16" i="2"/>
  <c r="K17" i="2"/>
  <c r="L17" i="2"/>
  <c r="M17" i="2"/>
  <c r="P17" i="2" s="1"/>
  <c r="N17" i="2"/>
  <c r="T17" i="2" s="1"/>
  <c r="O17" i="2"/>
  <c r="U17" i="2" s="1"/>
  <c r="Q17" i="2"/>
  <c r="R17" i="2"/>
  <c r="K18" i="2"/>
  <c r="N18" i="2" s="1"/>
  <c r="T18" i="2" s="1"/>
  <c r="L18" i="2"/>
  <c r="O18" i="2" s="1"/>
  <c r="U18" i="2" s="1"/>
  <c r="M18" i="2"/>
  <c r="P18" i="2" s="1"/>
  <c r="Q18" i="2"/>
  <c r="R18" i="2"/>
  <c r="K19" i="2"/>
  <c r="N19" i="2" s="1"/>
  <c r="T19" i="2" s="1"/>
  <c r="L19" i="2"/>
  <c r="M19" i="2"/>
  <c r="O19" i="2"/>
  <c r="U19" i="2" s="1"/>
  <c r="P19" i="2"/>
  <c r="Q19" i="2"/>
  <c r="R19" i="2"/>
  <c r="K20" i="2"/>
  <c r="L20" i="2"/>
  <c r="M20" i="2"/>
  <c r="N20" i="2"/>
  <c r="T20" i="2" s="1"/>
  <c r="O20" i="2"/>
  <c r="U20" i="2" s="1"/>
  <c r="P20" i="2"/>
  <c r="Q20" i="2"/>
  <c r="R20" i="2"/>
  <c r="K21" i="2"/>
  <c r="L21" i="2"/>
  <c r="M21" i="2"/>
  <c r="P21" i="2" s="1"/>
  <c r="N21" i="2"/>
  <c r="T21" i="2" s="1"/>
  <c r="O21" i="2"/>
  <c r="U21" i="2" s="1"/>
  <c r="Q21" i="2"/>
  <c r="R21" i="2"/>
  <c r="K22" i="2"/>
  <c r="N22" i="2" s="1"/>
  <c r="T22" i="2" s="1"/>
  <c r="L22" i="2"/>
  <c r="O22" i="2" s="1"/>
  <c r="U22" i="2" s="1"/>
  <c r="M22" i="2"/>
  <c r="P22" i="2" s="1"/>
  <c r="Q22" i="2"/>
  <c r="R22" i="2"/>
  <c r="A13" i="2"/>
  <c r="A12" i="2"/>
  <c r="A10" i="2"/>
  <c r="A9" i="2"/>
  <c r="A8" i="2"/>
  <c r="A7" i="2"/>
  <c r="A6" i="2"/>
  <c r="A5" i="2"/>
  <c r="A3" i="2"/>
  <c r="A2" i="2"/>
  <c r="A11" i="2"/>
  <c r="A4" i="2"/>
  <c r="O4" i="3" l="1"/>
  <c r="U4" i="3" s="1"/>
  <c r="G15" i="3"/>
  <c r="F15" i="3"/>
  <c r="D15" i="3"/>
  <c r="C15" i="3"/>
  <c r="G17" i="3"/>
  <c r="F17" i="3"/>
  <c r="N3" i="3"/>
  <c r="T3" i="3" s="1"/>
  <c r="C14" i="3"/>
  <c r="C19" i="3"/>
  <c r="F14" i="3"/>
  <c r="G14" i="3"/>
  <c r="O3" i="3"/>
  <c r="U3" i="3" s="1"/>
  <c r="D16" i="3"/>
  <c r="C16" i="3"/>
  <c r="F19" i="3"/>
  <c r="G19" i="3"/>
  <c r="F16" i="3"/>
  <c r="G16" i="3"/>
  <c r="C17" i="3"/>
  <c r="O7" i="3"/>
  <c r="U7" i="3" s="1"/>
  <c r="G18" i="3"/>
  <c r="F18" i="3"/>
  <c r="C18" i="3"/>
  <c r="D18" i="3"/>
  <c r="N5" i="3"/>
  <c r="T5" i="3" s="1"/>
  <c r="N4" i="3"/>
  <c r="T4" i="3" s="1"/>
  <c r="O5" i="3"/>
  <c r="U5" i="3" s="1"/>
  <c r="O6" i="3"/>
  <c r="U6" i="3" s="1"/>
  <c r="P5" i="3"/>
  <c r="N7" i="3"/>
  <c r="T7" i="3" s="1"/>
  <c r="O8" i="3"/>
  <c r="U8" i="3" s="1"/>
  <c r="P8" i="3"/>
  <c r="P4" i="3"/>
  <c r="N8" i="3"/>
  <c r="T8" i="3" s="1"/>
  <c r="N6" i="3"/>
  <c r="T6" i="3" s="1"/>
</calcChain>
</file>

<file path=xl/sharedStrings.xml><?xml version="1.0" encoding="utf-8"?>
<sst xmlns="http://schemas.openxmlformats.org/spreadsheetml/2006/main" count="159" uniqueCount="38">
  <si>
    <t>treatment</t>
  </si>
  <si>
    <t xml:space="preserve">    Cem CR_Fix Mod</t>
  </si>
  <si>
    <t xml:space="preserve">    Cem CR_Mob Mod</t>
  </si>
  <si>
    <t xml:space="preserve">    Cem PS_Fix Mod</t>
  </si>
  <si>
    <t xml:space="preserve">    Cem PS_Mob Mod</t>
  </si>
  <si>
    <t xml:space="preserve">    Unc CR_Fix Mod</t>
  </si>
  <si>
    <t xml:space="preserve">    Unc CR_Mob Mod</t>
  </si>
  <si>
    <t xml:space="preserve">    Hyb CR_Fix Mod</t>
  </si>
  <si>
    <t>mean1</t>
  </si>
  <si>
    <t>UL1</t>
  </si>
  <si>
    <t>LL1</t>
  </si>
  <si>
    <t>mean2</t>
  </si>
  <si>
    <t>LL2</t>
  </si>
  <si>
    <t>UL2</t>
  </si>
  <si>
    <t>mean3</t>
  </si>
  <si>
    <t>LL3</t>
  </si>
  <si>
    <t>UL3</t>
  </si>
  <si>
    <t>average</t>
  </si>
  <si>
    <t>rank</t>
  </si>
  <si>
    <t>SE1</t>
  </si>
  <si>
    <t>SE2</t>
  </si>
  <si>
    <t>SE3</t>
  </si>
  <si>
    <t>SE1(LHR)</t>
  </si>
  <si>
    <t>SE2(LHR)</t>
  </si>
  <si>
    <t>SE3(LHR)</t>
  </si>
  <si>
    <t>mean[,1]</t>
  </si>
  <si>
    <t>mean[,2]</t>
  </si>
  <si>
    <t>mean[,3]</t>
  </si>
  <si>
    <t>precision[,1]</t>
  </si>
  <si>
    <t>precision[,2]</t>
  </si>
  <si>
    <t>precision[,3]</t>
  </si>
  <si>
    <t>NA</t>
  </si>
  <si>
    <t>LHR1</t>
  </si>
  <si>
    <t>LHR2</t>
  </si>
  <si>
    <t>LHR3</t>
  </si>
  <si>
    <t>Cemented</t>
  </si>
  <si>
    <t>Uncemented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</si>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</sst>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11" fontId="1" fillId="0" borderId="0" xfId="0" applyNumberFormat="1" applyFont="1"/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C3AD-3BC2-4C16-875F-EC5E49CF66CB}">
  <dimension ref="A1:J4"/>
  <sheetViews>
    <sheetView tabSelected="1" workbookViewId="0">
      <selection activeCell="F11" sqref="F11"/>
    </sheetView>
  </sheetViews>
  <sheetFormatPr defaultRowHeight="15" x14ac:dyDescent="0.25"/>
  <cols>
    <col min="1" max="1" width="22.140625" customWidth="1"/>
  </cols>
  <sheetData>
    <row r="1" spans="1:10" x14ac:dyDescent="0.25">
      <c r="A1" t="s">
        <v>0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5" t="s">
        <v>35</v>
      </c>
      <c r="B2">
        <v>-5.1269999999999998</v>
      </c>
      <c r="C2">
        <v>-5.202</v>
      </c>
      <c r="D2">
        <v>-5.0519999999999996</v>
      </c>
      <c r="E2">
        <v>-5.742</v>
      </c>
      <c r="F2">
        <v>-5.8620000000000001</v>
      </c>
      <c r="G2">
        <v>-5.6219999999999999</v>
      </c>
      <c r="H2">
        <v>-6.0880000000000001</v>
      </c>
      <c r="I2">
        <v>-6.5010000000000003</v>
      </c>
      <c r="J2">
        <v>-5.6749999999999998</v>
      </c>
    </row>
    <row r="3" spans="1:10" x14ac:dyDescent="0.25">
      <c r="A3" s="5" t="s">
        <v>36</v>
      </c>
      <c r="B3">
        <v>-4.99</v>
      </c>
      <c r="C3">
        <v>-5.1749999999999998</v>
      </c>
      <c r="D3">
        <v>-4.8049999999999997</v>
      </c>
      <c r="E3">
        <v>-5.7050000000000001</v>
      </c>
      <c r="F3">
        <v>-5.8330000000000002</v>
      </c>
      <c r="G3">
        <v>-5.577</v>
      </c>
      <c r="H3">
        <v>-5.4160000000000004</v>
      </c>
      <c r="I3">
        <v>-5.851</v>
      </c>
      <c r="J3">
        <v>-4.9809999999999999</v>
      </c>
    </row>
    <row r="4" spans="1:10" x14ac:dyDescent="0.25">
      <c r="A4" s="5" t="s">
        <v>37</v>
      </c>
      <c r="B4">
        <v>-5.2229999999999999</v>
      </c>
      <c r="C4">
        <v>-5.4249999999999998</v>
      </c>
      <c r="D4">
        <v>-5.0209999999999999</v>
      </c>
      <c r="E4">
        <v>-5.3879999999999999</v>
      </c>
      <c r="F4">
        <v>-5.5629999999999997</v>
      </c>
      <c r="G4">
        <v>-5.2130000000000001</v>
      </c>
      <c r="H4">
        <v>-5.8109999999999999</v>
      </c>
      <c r="I4">
        <v>-6.45</v>
      </c>
      <c r="J4">
        <v>-5.1719999999999997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9F996-5857-4713-A0BC-D6C85D5E1E83}">
  <dimension ref="A1:V22"/>
  <sheetViews>
    <sheetView workbookViewId="0">
      <selection activeCell="A15" sqref="A15:XFD22"/>
    </sheetView>
  </sheetViews>
  <sheetFormatPr defaultRowHeight="15" x14ac:dyDescent="0.25"/>
  <sheetData>
    <row r="1" spans="1:22" x14ac:dyDescent="0.25">
      <c r="A1" t="s">
        <v>17</v>
      </c>
      <c r="B1" t="s">
        <v>18</v>
      </c>
    </row>
    <row r="2" spans="1:22" x14ac:dyDescent="0.25">
      <c r="A2" t="e">
        <f>AVERAGE(Sheet1!#REF!+Sheet1!#REF!+Sheet1!#REF!)</f>
        <v>#REF!</v>
      </c>
    </row>
    <row r="3" spans="1:22" x14ac:dyDescent="0.25">
      <c r="A3" t="e">
        <f>AVERAGE(Sheet1!#REF!+Sheet1!#REF!+Sheet1!#REF!)</f>
        <v>#REF!</v>
      </c>
      <c r="B3">
        <v>1</v>
      </c>
    </row>
    <row r="4" spans="1:22" x14ac:dyDescent="0.25">
      <c r="A4" t="e">
        <f>AVERAGE(Sheet1!#REF!+Sheet1!#REF!+Sheet1!#REF!)</f>
        <v>#REF!</v>
      </c>
    </row>
    <row r="5" spans="1:22" x14ac:dyDescent="0.25">
      <c r="A5" t="e">
        <f>AVERAGE(Sheet1!#REF!+Sheet1!#REF!+Sheet1!#REF!)</f>
        <v>#REF!</v>
      </c>
    </row>
    <row r="6" spans="1:22" x14ac:dyDescent="0.25">
      <c r="A6" t="e">
        <f>AVERAGE(Sheet1!#REF!+Sheet1!#REF!+Sheet1!#REF!)</f>
        <v>#REF!</v>
      </c>
    </row>
    <row r="7" spans="1:22" x14ac:dyDescent="0.25">
      <c r="A7" t="e">
        <f>AVERAGE(Sheet1!#REF!+Sheet1!#REF!+Sheet1!#REF!)</f>
        <v>#REF!</v>
      </c>
    </row>
    <row r="8" spans="1:22" x14ac:dyDescent="0.25">
      <c r="A8" t="e">
        <f>AVERAGE(Sheet1!#REF!+Sheet1!#REF!+Sheet1!#REF!)</f>
        <v>#REF!</v>
      </c>
    </row>
    <row r="9" spans="1:22" x14ac:dyDescent="0.25">
      <c r="A9" t="e">
        <f>AVERAGE(Sheet1!#REF!+Sheet1!#REF!+Sheet1!#REF!)</f>
        <v>#REF!</v>
      </c>
    </row>
    <row r="10" spans="1:22" x14ac:dyDescent="0.25">
      <c r="A10" t="e">
        <f>AVERAGE(Sheet1!#REF!+Sheet1!#REF!+Sheet1!#REF!)</f>
        <v>#REF!</v>
      </c>
    </row>
    <row r="11" spans="1:22" x14ac:dyDescent="0.25">
      <c r="A11" t="e">
        <f>AVERAGE(Sheet1!#REF!+Sheet1!#REF!+Sheet1!#REF!)</f>
        <v>#REF!</v>
      </c>
    </row>
    <row r="12" spans="1:22" x14ac:dyDescent="0.25">
      <c r="A12" t="e">
        <f>AVERAGE(Sheet1!#REF!+Sheet1!#REF!+Sheet1!#REF!)</f>
        <v>#REF!</v>
      </c>
    </row>
    <row r="13" spans="1:22" x14ac:dyDescent="0.25">
      <c r="A13" t="e">
        <f>AVERAGE(Sheet1!#REF!+Sheet1!#REF!+Sheet1!#REF!)</f>
        <v>#REF!</v>
      </c>
    </row>
    <row r="15" spans="1:22" x14ac:dyDescent="0.25">
      <c r="B15" t="s">
        <v>8</v>
      </c>
      <c r="C15" t="s">
        <v>10</v>
      </c>
      <c r="D15" t="s">
        <v>9</v>
      </c>
      <c r="E15" t="s">
        <v>11</v>
      </c>
      <c r="F15" t="s">
        <v>12</v>
      </c>
      <c r="G15" t="s">
        <v>13</v>
      </c>
      <c r="H15" t="s">
        <v>14</v>
      </c>
      <c r="I15" t="s">
        <v>15</v>
      </c>
      <c r="J15" t="s">
        <v>16</v>
      </c>
      <c r="K15" t="s">
        <v>19</v>
      </c>
      <c r="L15" t="s">
        <v>20</v>
      </c>
      <c r="M15" t="s">
        <v>21</v>
      </c>
      <c r="N15" t="s">
        <v>22</v>
      </c>
      <c r="O15" t="s">
        <v>23</v>
      </c>
      <c r="P15" t="s">
        <v>24</v>
      </c>
      <c r="Q15" s="2" t="s">
        <v>25</v>
      </c>
      <c r="R15" s="2" t="s">
        <v>26</v>
      </c>
      <c r="S15" s="2" t="s">
        <v>27</v>
      </c>
      <c r="T15" s="2" t="s">
        <v>28</v>
      </c>
      <c r="U15" s="2" t="s">
        <v>29</v>
      </c>
      <c r="V15" s="2" t="s">
        <v>30</v>
      </c>
    </row>
    <row r="16" spans="1:22" x14ac:dyDescent="0.25">
      <c r="A16" t="s">
        <v>1</v>
      </c>
      <c r="B16">
        <v>2.6730999999999999E-3</v>
      </c>
      <c r="C16">
        <v>2.1218000000000001E-3</v>
      </c>
      <c r="D16">
        <v>3.3676000000000001E-3</v>
      </c>
      <c r="E16">
        <v>7.9319999999999998E-4</v>
      </c>
      <c r="F16">
        <v>4.7820000000000002E-4</v>
      </c>
      <c r="G16">
        <v>1.3156000000000001E-3</v>
      </c>
      <c r="H16" s="1">
        <v>0</v>
      </c>
      <c r="I16" s="1">
        <v>0</v>
      </c>
      <c r="J16" s="1">
        <v>0</v>
      </c>
      <c r="K16">
        <f t="shared" ref="K16:K22" si="0">(D16-C16)/2*1.96</f>
        <v>1.220884E-3</v>
      </c>
      <c r="L16">
        <f t="shared" ref="L16:L22" si="1">(G16-F16)/2*1.96</f>
        <v>8.2065200000000006E-4</v>
      </c>
      <c r="M16">
        <f t="shared" ref="M16:M22" si="2">(J16-I16)/2*1.96</f>
        <v>0</v>
      </c>
      <c r="Q16" s="2" t="s">
        <v>31</v>
      </c>
      <c r="R16" s="2" t="s">
        <v>31</v>
      </c>
      <c r="S16" s="2" t="s">
        <v>31</v>
      </c>
      <c r="T16" s="2" t="s">
        <v>31</v>
      </c>
      <c r="U16" s="2" t="s">
        <v>31</v>
      </c>
      <c r="V16" s="2" t="s">
        <v>31</v>
      </c>
    </row>
    <row r="17" spans="1:22" x14ac:dyDescent="0.25">
      <c r="A17" t="s">
        <v>2</v>
      </c>
      <c r="B17">
        <v>1.7022000000000001E-3</v>
      </c>
      <c r="C17">
        <v>4.2569999999999999E-4</v>
      </c>
      <c r="D17">
        <v>6.8060999999999998E-3</v>
      </c>
      <c r="E17" s="1">
        <v>2.3607599999999999E-2</v>
      </c>
      <c r="F17" s="1">
        <v>4.3550000000000004E-3</v>
      </c>
      <c r="G17" s="1">
        <v>0.14572849999999998</v>
      </c>
      <c r="H17" s="1">
        <v>0</v>
      </c>
      <c r="I17" s="1">
        <v>0</v>
      </c>
      <c r="J17" s="1">
        <v>0</v>
      </c>
      <c r="K17">
        <f t="shared" si="0"/>
        <v>6.2527919999999992E-3</v>
      </c>
      <c r="L17">
        <f t="shared" si="1"/>
        <v>0.13854602999999999</v>
      </c>
      <c r="M17">
        <f t="shared" si="2"/>
        <v>0</v>
      </c>
      <c r="N17">
        <f>SQRT(K17^2+K16^2)</f>
        <v>6.3708685072539359E-3</v>
      </c>
      <c r="O17">
        <f>SQRT(L17^2+L16^2)</f>
        <v>0.1385484604694906</v>
      </c>
      <c r="P17">
        <f>SQRT(M17^2+M16^2)</f>
        <v>0</v>
      </c>
      <c r="Q17" s="2">
        <f>LN(B17)-LN(B16)</f>
        <v>-0.45131731554480137</v>
      </c>
      <c r="R17" s="3">
        <f>LN(E17)-LN(E16)</f>
        <v>3.393248576424579</v>
      </c>
      <c r="S17" s="2" t="s">
        <v>31</v>
      </c>
      <c r="T17" s="2">
        <f t="shared" ref="T17:U22" si="3">1/(N17^2)</f>
        <v>24637.84490738513</v>
      </c>
      <c r="U17" s="2">
        <f t="shared" si="3"/>
        <v>52.095065851779353</v>
      </c>
      <c r="V17" s="2" t="s">
        <v>31</v>
      </c>
    </row>
    <row r="18" spans="1:22" x14ac:dyDescent="0.25">
      <c r="A18" t="s">
        <v>3</v>
      </c>
      <c r="B18">
        <v>2.1235999999999998E-3</v>
      </c>
      <c r="C18">
        <v>1.3701E-3</v>
      </c>
      <c r="D18">
        <v>3.2916999999999998E-3</v>
      </c>
      <c r="E18">
        <v>5.7410000000000002E-4</v>
      </c>
      <c r="F18">
        <v>2.1550000000000001E-4</v>
      </c>
      <c r="G18">
        <v>1.5296999999999999E-3</v>
      </c>
      <c r="H18" s="1">
        <v>0</v>
      </c>
      <c r="I18" s="1">
        <v>0</v>
      </c>
      <c r="J18" s="1">
        <v>0</v>
      </c>
      <c r="K18">
        <f t="shared" si="0"/>
        <v>1.8831679999999997E-3</v>
      </c>
      <c r="L18">
        <f t="shared" si="1"/>
        <v>1.2879159999999998E-3</v>
      </c>
      <c r="M18">
        <f t="shared" si="2"/>
        <v>0</v>
      </c>
      <c r="N18">
        <f>SQRT(K18^2+K16^2)</f>
        <v>2.2442993244395897E-3</v>
      </c>
      <c r="O18">
        <f>SQRT(L18^2+L16^2)</f>
        <v>1.5271533414035407E-3</v>
      </c>
      <c r="P18">
        <f>SQRT(M18^2+M16^2)</f>
        <v>0</v>
      </c>
      <c r="Q18" s="2">
        <f>LN(B18)-LN(B16)</f>
        <v>-0.23012608587814576</v>
      </c>
      <c r="R18" s="2">
        <f>LN(E18)-LN(E16)</f>
        <v>-0.32327179947205043</v>
      </c>
      <c r="S18" s="2" t="s">
        <v>31</v>
      </c>
      <c r="T18" s="2">
        <f t="shared" si="3"/>
        <v>198535.62278034003</v>
      </c>
      <c r="U18" s="2">
        <f t="shared" si="3"/>
        <v>428780.18421749747</v>
      </c>
      <c r="V18" s="2" t="s">
        <v>31</v>
      </c>
    </row>
    <row r="19" spans="1:22" x14ac:dyDescent="0.25">
      <c r="A19" t="s">
        <v>4</v>
      </c>
      <c r="B19">
        <v>3.0739999999999999E-3</v>
      </c>
      <c r="C19">
        <v>4.3300000000000001E-4</v>
      </c>
      <c r="D19">
        <v>2.18227E-2</v>
      </c>
      <c r="E19" s="1">
        <v>2.3607599999999999E-2</v>
      </c>
      <c r="F19" s="1">
        <v>4.3550000000000004E-3</v>
      </c>
      <c r="G19" s="1">
        <v>0.14572849999999998</v>
      </c>
      <c r="H19" s="1">
        <v>0</v>
      </c>
      <c r="I19" s="1">
        <v>0</v>
      </c>
      <c r="J19" s="1">
        <v>0</v>
      </c>
      <c r="K19">
        <f t="shared" si="0"/>
        <v>2.0961906000000002E-2</v>
      </c>
      <c r="L19">
        <f t="shared" si="1"/>
        <v>0.13854602999999999</v>
      </c>
      <c r="M19">
        <f t="shared" si="2"/>
        <v>0</v>
      </c>
      <c r="N19">
        <f>SQRT(K19^2+K16^2)</f>
        <v>2.0997429864016502E-2</v>
      </c>
      <c r="O19">
        <f>SQRT(L19^2+L16^2)</f>
        <v>0.1385484604694906</v>
      </c>
      <c r="P19">
        <f>SQRT(M19^2+M16^2)</f>
        <v>0</v>
      </c>
      <c r="Q19" s="2">
        <f>LN(B19)-LN(B16)</f>
        <v>0.13974079751087931</v>
      </c>
      <c r="R19" s="2">
        <f>LN(E19)-LN(E16)</f>
        <v>3.393248576424579</v>
      </c>
      <c r="S19" s="2" t="s">
        <v>31</v>
      </c>
      <c r="T19" s="2">
        <f t="shared" si="3"/>
        <v>2268.1288430815252</v>
      </c>
      <c r="U19" s="2">
        <f t="shared" si="3"/>
        <v>52.095065851779353</v>
      </c>
      <c r="V19" s="2" t="s">
        <v>31</v>
      </c>
    </row>
    <row r="20" spans="1:22" x14ac:dyDescent="0.25">
      <c r="A20" t="s">
        <v>5</v>
      </c>
      <c r="B20">
        <v>2.0512999999999998E-3</v>
      </c>
      <c r="C20">
        <v>2.8889999999999997E-4</v>
      </c>
      <c r="D20">
        <v>1.45621E-2</v>
      </c>
      <c r="E20">
        <v>4.8384999999999999E-3</v>
      </c>
      <c r="F20">
        <v>1.2101E-3</v>
      </c>
      <c r="G20">
        <v>1.93464E-2</v>
      </c>
      <c r="H20" s="1">
        <v>0</v>
      </c>
      <c r="I20" s="1">
        <v>0</v>
      </c>
      <c r="J20" s="1">
        <v>0</v>
      </c>
      <c r="K20">
        <f t="shared" si="0"/>
        <v>1.3987735999999999E-2</v>
      </c>
      <c r="L20">
        <f t="shared" si="1"/>
        <v>1.7773574E-2</v>
      </c>
      <c r="M20">
        <f t="shared" si="2"/>
        <v>0</v>
      </c>
      <c r="N20">
        <f>SQRT(K20^2+K16^2)</f>
        <v>1.4040915787339228E-2</v>
      </c>
      <c r="O20">
        <f>SQRT(L20^2+L16^2)</f>
        <v>1.7792509728494742E-2</v>
      </c>
      <c r="P20">
        <f>SQRT(M20^2+M16^2)</f>
        <v>0</v>
      </c>
      <c r="Q20" s="2">
        <f>LN(B20)-LN(B16)</f>
        <v>-0.26476510909957085</v>
      </c>
      <c r="R20" s="2">
        <f>LN(E20)-LN(E16)</f>
        <v>1.8082846376753556</v>
      </c>
      <c r="S20" s="2" t="s">
        <v>31</v>
      </c>
      <c r="T20" s="2">
        <f t="shared" si="3"/>
        <v>5072.3490410267304</v>
      </c>
      <c r="U20" s="2">
        <f t="shared" si="3"/>
        <v>3158.8250696266718</v>
      </c>
      <c r="V20" s="2" t="s">
        <v>31</v>
      </c>
    </row>
    <row r="21" spans="1:22" x14ac:dyDescent="0.25">
      <c r="A21" t="s">
        <v>6</v>
      </c>
      <c r="B21">
        <v>3.8002999999999999E-3</v>
      </c>
      <c r="C21">
        <v>1.2256999999999999E-3</v>
      </c>
      <c r="D21">
        <v>1.1783099999999999E-2</v>
      </c>
      <c r="E21">
        <v>1.3048000000000001E-3</v>
      </c>
      <c r="F21">
        <v>1.838E-4</v>
      </c>
      <c r="G21">
        <v>9.2627000000000004E-3</v>
      </c>
      <c r="H21" s="1">
        <v>0</v>
      </c>
      <c r="I21" s="1">
        <v>0</v>
      </c>
      <c r="J21" s="1">
        <v>0</v>
      </c>
      <c r="K21">
        <f t="shared" si="0"/>
        <v>1.0346252E-2</v>
      </c>
      <c r="L21">
        <f t="shared" si="1"/>
        <v>8.8973220000000009E-3</v>
      </c>
      <c r="M21">
        <f t="shared" si="2"/>
        <v>0</v>
      </c>
      <c r="N21">
        <f>SQRT(K21^2+K16^2)</f>
        <v>1.0418036676310945E-2</v>
      </c>
      <c r="O21">
        <f>SQRT(L21^2+L16^2)</f>
        <v>8.9350886104608961E-3</v>
      </c>
      <c r="P21">
        <f>SQRT(M21^2+M16^2)</f>
        <v>0</v>
      </c>
      <c r="Q21" s="2">
        <f>LN(B21)-LN(B16)</f>
        <v>0.35184116337905724</v>
      </c>
      <c r="R21" s="2">
        <f>LN(E21)-LN(E16)</f>
        <v>0.49772965466116315</v>
      </c>
      <c r="S21" s="2" t="s">
        <v>31</v>
      </c>
      <c r="T21" s="2">
        <f t="shared" si="3"/>
        <v>9213.5762844591682</v>
      </c>
      <c r="U21" s="2">
        <f t="shared" si="3"/>
        <v>12525.707687807113</v>
      </c>
      <c r="V21" s="2" t="s">
        <v>31</v>
      </c>
    </row>
    <row r="22" spans="1:22" x14ac:dyDescent="0.25">
      <c r="A22" t="s">
        <v>7</v>
      </c>
      <c r="B22" s="1">
        <v>0.1016585</v>
      </c>
      <c r="C22" s="1">
        <v>2.4138699999999999E-2</v>
      </c>
      <c r="D22" s="1">
        <v>0.53358629999999996</v>
      </c>
      <c r="E22" s="1">
        <v>2.3607599999999999E-2</v>
      </c>
      <c r="F22" s="1">
        <v>4.3550000000000004E-3</v>
      </c>
      <c r="G22" s="1">
        <v>0.14572849999999998</v>
      </c>
      <c r="H22" s="1">
        <v>0</v>
      </c>
      <c r="I22" s="1">
        <v>0</v>
      </c>
      <c r="J22" s="1">
        <v>0</v>
      </c>
      <c r="K22">
        <f t="shared" si="0"/>
        <v>0.49925864799999997</v>
      </c>
      <c r="L22">
        <f t="shared" si="1"/>
        <v>0.13854602999999999</v>
      </c>
      <c r="M22">
        <f t="shared" si="2"/>
        <v>0</v>
      </c>
      <c r="N22">
        <f>SQRT(K22^2+K16^2)</f>
        <v>0.49926014076884739</v>
      </c>
      <c r="O22">
        <f>SQRT(L22^2+L16^2)</f>
        <v>0.1385484604694906</v>
      </c>
      <c r="P22">
        <f>SQRT(M22^2+M16^2)</f>
        <v>0</v>
      </c>
      <c r="Q22" s="2">
        <f>LN(B22)-LN(B16)</f>
        <v>3.6383803092384688</v>
      </c>
      <c r="R22" s="2">
        <f>LN(E22)-LN(E16)</f>
        <v>3.393248576424579</v>
      </c>
      <c r="S22" s="2" t="s">
        <v>31</v>
      </c>
      <c r="T22" s="2">
        <f t="shared" si="3"/>
        <v>4.011864074434305</v>
      </c>
      <c r="U22" s="2">
        <f t="shared" si="3"/>
        <v>52.095065851779353</v>
      </c>
      <c r="V22" s="2" t="s">
        <v>31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1A97-288C-4C38-9DA3-7EF9BCF17E46}">
  <dimension ref="A1:V28"/>
  <sheetViews>
    <sheetView workbookViewId="0">
      <selection activeCell="B13" sqref="B13:J19"/>
    </sheetView>
  </sheetViews>
  <sheetFormatPr defaultRowHeight="15" x14ac:dyDescent="0.25"/>
  <sheetData>
    <row r="1" spans="1:22" x14ac:dyDescent="0.25"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</row>
    <row r="2" spans="1:22" x14ac:dyDescent="0.25">
      <c r="A2" t="s">
        <v>1</v>
      </c>
      <c r="B2">
        <v>-2.5729847940920085</v>
      </c>
      <c r="C2">
        <v>-2.6732955549256743</v>
      </c>
      <c r="D2">
        <v>-2.4726794991526022</v>
      </c>
      <c r="E2">
        <v>-3.1006172944667347</v>
      </c>
      <c r="F2">
        <v>-3.3203904282202439</v>
      </c>
      <c r="G2">
        <v>-2.880876135189383</v>
      </c>
      <c r="H2" s="1">
        <v>0</v>
      </c>
      <c r="I2" s="1">
        <v>0</v>
      </c>
      <c r="J2" s="1">
        <v>0</v>
      </c>
      <c r="K2">
        <f t="shared" ref="K2:K8" si="0">(D2-C2)/2*1.96</f>
        <v>0.19660373465761063</v>
      </c>
      <c r="L2">
        <f t="shared" ref="L2:L8" si="1">(G2-F2)/2*1.96</f>
        <v>0.43072400717024362</v>
      </c>
      <c r="M2">
        <f t="shared" ref="M2:M8" si="2">(J2-I2)/2*1.96</f>
        <v>0</v>
      </c>
      <c r="Q2" s="2" t="s">
        <v>31</v>
      </c>
      <c r="R2" s="2" t="s">
        <v>31</v>
      </c>
      <c r="S2" s="2" t="s">
        <v>31</v>
      </c>
      <c r="T2" s="2" t="s">
        <v>31</v>
      </c>
      <c r="U2" s="2" t="s">
        <v>31</v>
      </c>
      <c r="V2" s="2" t="s">
        <v>31</v>
      </c>
    </row>
    <row r="3" spans="1:22" x14ac:dyDescent="0.25">
      <c r="A3" t="s">
        <v>2</v>
      </c>
      <c r="B3">
        <v>-2.768989413820504</v>
      </c>
      <c r="C3">
        <v>-3.3708963498228637</v>
      </c>
      <c r="D3">
        <v>-2.1671016742338707</v>
      </c>
      <c r="E3">
        <v>-1.6269481619994755</v>
      </c>
      <c r="F3">
        <v>-2.3610118406563179</v>
      </c>
      <c r="G3">
        <v>-0.83645550531760637</v>
      </c>
      <c r="H3" s="1">
        <v>0</v>
      </c>
      <c r="I3" s="1">
        <v>0</v>
      </c>
      <c r="J3" s="1">
        <v>0</v>
      </c>
      <c r="K3">
        <f t="shared" si="0"/>
        <v>1.179718782077213</v>
      </c>
      <c r="L3">
        <f t="shared" si="1"/>
        <v>1.4940652086319373</v>
      </c>
      <c r="M3">
        <f t="shared" si="2"/>
        <v>0</v>
      </c>
      <c r="N3">
        <f>SQRT(K3^2+K2^2)</f>
        <v>1.1959888934547274</v>
      </c>
      <c r="O3">
        <f>SQRT(L3^2+L2^2)</f>
        <v>1.5549128650818946</v>
      </c>
      <c r="P3">
        <f>SQRT(M3^2+M2^2)</f>
        <v>0</v>
      </c>
      <c r="Q3" s="2" t="e">
        <f>LN(B3)-LN(B2)</f>
        <v>#NUM!</v>
      </c>
      <c r="R3" s="3" t="e">
        <f>LN(E3)-LN(E2)</f>
        <v>#NUM!</v>
      </c>
      <c r="S3" s="2" t="s">
        <v>31</v>
      </c>
      <c r="T3" s="2">
        <f t="shared" ref="T3:U8" si="3">1/(N3^2)</f>
        <v>0.69911030992165701</v>
      </c>
      <c r="U3" s="2">
        <f t="shared" si="3"/>
        <v>0.41360700574013637</v>
      </c>
      <c r="V3" s="2" t="s">
        <v>31</v>
      </c>
    </row>
    <row r="4" spans="1:22" x14ac:dyDescent="0.25">
      <c r="A4" t="s">
        <v>3</v>
      </c>
      <c r="B4">
        <v>-2.6729272833308806</v>
      </c>
      <c r="C4">
        <v>-2.8632477336733371</v>
      </c>
      <c r="D4">
        <v>-2.4825797525246283</v>
      </c>
      <c r="E4">
        <v>-3.2410124531323805</v>
      </c>
      <c r="F4">
        <v>-3.6665527255032497</v>
      </c>
      <c r="G4">
        <v>-2.815393733312864</v>
      </c>
      <c r="H4" s="1">
        <v>0</v>
      </c>
      <c r="I4" s="1">
        <v>0</v>
      </c>
      <c r="J4" s="1">
        <v>0</v>
      </c>
      <c r="K4">
        <f t="shared" si="0"/>
        <v>0.37305462152573465</v>
      </c>
      <c r="L4">
        <f t="shared" si="1"/>
        <v>0.83413581234657797</v>
      </c>
      <c r="M4">
        <f t="shared" si="2"/>
        <v>0</v>
      </c>
      <c r="N4">
        <f>SQRT(K4^2+K2^2)</f>
        <v>0.42169038300989187</v>
      </c>
      <c r="O4">
        <f>SQRT(L4^2+L2^2)</f>
        <v>0.93877884711569726</v>
      </c>
      <c r="P4">
        <f>SQRT(M4^2+M2^2)</f>
        <v>0</v>
      </c>
      <c r="Q4" s="2" t="e">
        <f>LN(B4)-LN(B2)</f>
        <v>#NUM!</v>
      </c>
      <c r="R4" s="2" t="e">
        <f>LN(E4)-LN(E2)</f>
        <v>#NUM!</v>
      </c>
      <c r="S4" s="2" t="s">
        <v>31</v>
      </c>
      <c r="T4" s="2">
        <f t="shared" si="3"/>
        <v>5.6235764896472311</v>
      </c>
      <c r="U4" s="2">
        <f t="shared" si="3"/>
        <v>1.1346800242002653</v>
      </c>
      <c r="V4" s="2" t="s">
        <v>31</v>
      </c>
    </row>
    <row r="5" spans="1:22" x14ac:dyDescent="0.25">
      <c r="A5" t="s">
        <v>4</v>
      </c>
      <c r="B5">
        <v>-2.5122961368362735</v>
      </c>
      <c r="C5">
        <v>-3.3635121036466344</v>
      </c>
      <c r="D5">
        <v>-1.661091517608408</v>
      </c>
      <c r="E5">
        <v>-1.6269481619994755</v>
      </c>
      <c r="F5">
        <v>-2.3610118406563179</v>
      </c>
      <c r="G5">
        <v>-0.83645550531760637</v>
      </c>
      <c r="H5" s="1">
        <v>0</v>
      </c>
      <c r="I5" s="1">
        <v>0</v>
      </c>
      <c r="J5" s="1">
        <v>0</v>
      </c>
      <c r="K5">
        <f t="shared" si="0"/>
        <v>1.668372174317462</v>
      </c>
      <c r="L5">
        <f t="shared" si="1"/>
        <v>1.4940652086319373</v>
      </c>
      <c r="M5">
        <f t="shared" si="2"/>
        <v>0</v>
      </c>
      <c r="N5">
        <f>SQRT(K5^2+K2^2)</f>
        <v>1.6799162897353237</v>
      </c>
      <c r="O5">
        <f>SQRT(L5^2+L2^2)</f>
        <v>1.5549128650818946</v>
      </c>
      <c r="P5">
        <f>SQRT(M5^2+M2^2)</f>
        <v>0</v>
      </c>
      <c r="Q5" s="2" t="e">
        <f>LN(B5)-LN(B2)</f>
        <v>#NUM!</v>
      </c>
      <c r="R5" s="2" t="e">
        <f>LN(E5)-LN(E2)</f>
        <v>#NUM!</v>
      </c>
      <c r="S5" s="2" t="s">
        <v>31</v>
      </c>
      <c r="T5" s="2">
        <f t="shared" si="3"/>
        <v>0.35434370129175219</v>
      </c>
      <c r="U5" s="2">
        <f t="shared" si="3"/>
        <v>0.41360700574013637</v>
      </c>
      <c r="V5" s="2" t="s">
        <v>31</v>
      </c>
    </row>
    <row r="6" spans="1:22" x14ac:dyDescent="0.25">
      <c r="A6" t="s">
        <v>5</v>
      </c>
      <c r="B6">
        <v>-2.6879708199744643</v>
      </c>
      <c r="C6">
        <v>-3.5392524581558029</v>
      </c>
      <c r="D6">
        <v>-1.8367759909125585</v>
      </c>
      <c r="E6">
        <v>-2.3152892546139068</v>
      </c>
      <c r="F6">
        <v>-2.9171787390606707</v>
      </c>
      <c r="G6">
        <v>-1.713399837135563</v>
      </c>
      <c r="H6" s="1">
        <v>0</v>
      </c>
      <c r="I6" s="1">
        <v>0</v>
      </c>
      <c r="J6" s="1">
        <v>0</v>
      </c>
      <c r="K6">
        <f t="shared" si="0"/>
        <v>1.6684269378983796</v>
      </c>
      <c r="L6">
        <f t="shared" si="1"/>
        <v>1.1797033238866055</v>
      </c>
      <c r="M6">
        <f t="shared" si="2"/>
        <v>0</v>
      </c>
      <c r="N6">
        <f>SQRT(K6^2+K2^2)</f>
        <v>1.679970677001918</v>
      </c>
      <c r="O6">
        <f>SQRT(L6^2+L2^2)</f>
        <v>1.2558754328124653</v>
      </c>
      <c r="P6">
        <f>SQRT(M6^2+M2^2)</f>
        <v>0</v>
      </c>
      <c r="Q6" s="2" t="e">
        <f>LN(B6)-LN(B2)</f>
        <v>#NUM!</v>
      </c>
      <c r="R6" s="2" t="e">
        <f>LN(E6)-LN(E2)</f>
        <v>#NUM!</v>
      </c>
      <c r="S6" s="2" t="s">
        <v>31</v>
      </c>
      <c r="T6" s="2">
        <f t="shared" si="3"/>
        <v>0.35432075866107388</v>
      </c>
      <c r="U6" s="2">
        <f t="shared" si="3"/>
        <v>0.6340257115569552</v>
      </c>
      <c r="V6" s="2" t="s">
        <v>31</v>
      </c>
    </row>
    <row r="7" spans="1:22" x14ac:dyDescent="0.25">
      <c r="A7" t="s">
        <v>6</v>
      </c>
      <c r="B7">
        <v>-2.4201821183300631</v>
      </c>
      <c r="C7">
        <v>-2.911615813902297</v>
      </c>
      <c r="D7">
        <v>-1.9287404365626235</v>
      </c>
      <c r="E7">
        <v>-2.8844560519677804</v>
      </c>
      <c r="F7">
        <v>-3.7356544929499074</v>
      </c>
      <c r="G7">
        <v>-2.0332624016351639</v>
      </c>
      <c r="H7" s="1">
        <v>0</v>
      </c>
      <c r="I7" s="1">
        <v>0</v>
      </c>
      <c r="J7" s="1">
        <v>0</v>
      </c>
      <c r="K7">
        <f t="shared" si="0"/>
        <v>0.96321786979287993</v>
      </c>
      <c r="L7">
        <f t="shared" si="1"/>
        <v>1.6683442494884486</v>
      </c>
      <c r="M7">
        <f t="shared" si="2"/>
        <v>0</v>
      </c>
      <c r="N7">
        <f>SQRT(K7^2+K2^2)</f>
        <v>0.98307766385451645</v>
      </c>
      <c r="O7">
        <f>SQRT(L7^2+L2^2)</f>
        <v>1.7230483757439798</v>
      </c>
      <c r="P7">
        <f>SQRT(M7^2+M2^2)</f>
        <v>0</v>
      </c>
      <c r="Q7" s="2" t="e">
        <f>LN(B7)-LN(B2)</f>
        <v>#NUM!</v>
      </c>
      <c r="R7" s="2" t="e">
        <f>LN(E7)-LN(E2)</f>
        <v>#NUM!</v>
      </c>
      <c r="S7" s="2" t="s">
        <v>31</v>
      </c>
      <c r="T7" s="2">
        <f t="shared" si="3"/>
        <v>1.0347235710829947</v>
      </c>
      <c r="U7" s="2">
        <f t="shared" si="3"/>
        <v>0.33682557398833918</v>
      </c>
      <c r="V7" s="2" t="s">
        <v>31</v>
      </c>
    </row>
    <row r="8" spans="1:22" x14ac:dyDescent="0.25">
      <c r="A8" t="s">
        <v>7</v>
      </c>
      <c r="B8">
        <v>-0.99285630272429437</v>
      </c>
      <c r="C8">
        <v>-1.6172861227237203</v>
      </c>
      <c r="D8">
        <v>-0.27279532959897257</v>
      </c>
      <c r="E8">
        <v>-1.6269481619994755</v>
      </c>
      <c r="F8">
        <v>-2.3610118406563179</v>
      </c>
      <c r="G8">
        <v>-0.83645550531760637</v>
      </c>
      <c r="H8" s="1">
        <v>0</v>
      </c>
      <c r="I8" s="1">
        <v>0</v>
      </c>
      <c r="J8" s="1">
        <v>0</v>
      </c>
      <c r="K8">
        <f t="shared" si="0"/>
        <v>1.3176009772622526</v>
      </c>
      <c r="L8">
        <f t="shared" si="1"/>
        <v>1.4940652086319373</v>
      </c>
      <c r="M8">
        <f t="shared" si="2"/>
        <v>0</v>
      </c>
      <c r="N8">
        <f>SQRT(K8^2+K2^2)</f>
        <v>1.332188186317445</v>
      </c>
      <c r="O8">
        <f>SQRT(L8^2+L2^2)</f>
        <v>1.5549128650818946</v>
      </c>
      <c r="P8">
        <f>SQRT(M8^2+M2^2)</f>
        <v>0</v>
      </c>
      <c r="Q8" s="2" t="e">
        <f>LN(B8)-LN(B2)</f>
        <v>#NUM!</v>
      </c>
      <c r="R8" s="2" t="e">
        <f>LN(E8)-LN(E2)</f>
        <v>#NUM!</v>
      </c>
      <c r="S8" s="2" t="s">
        <v>31</v>
      </c>
      <c r="T8" s="2">
        <f t="shared" si="3"/>
        <v>0.56346746399073366</v>
      </c>
      <c r="U8" s="2">
        <f t="shared" si="3"/>
        <v>0.41360700574013637</v>
      </c>
      <c r="V8" s="2" t="s">
        <v>31</v>
      </c>
    </row>
    <row r="12" spans="1:22" ht="15.75" thickBot="1" x14ac:dyDescent="0.3">
      <c r="A12" s="4"/>
      <c r="B12" t="s">
        <v>8</v>
      </c>
      <c r="C12" t="s">
        <v>10</v>
      </c>
      <c r="D12" t="s">
        <v>9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</row>
    <row r="13" spans="1:22" x14ac:dyDescent="0.25">
      <c r="A13" s="2" t="s">
        <v>1</v>
      </c>
      <c r="B13">
        <f t="shared" ref="B13:J19" si="4">B2</f>
        <v>-2.5729847940920085</v>
      </c>
      <c r="C13">
        <f t="shared" si="4"/>
        <v>-2.6732955549256743</v>
      </c>
      <c r="D13">
        <f t="shared" si="4"/>
        <v>-2.4726794991526022</v>
      </c>
      <c r="E13">
        <f t="shared" si="4"/>
        <v>-3.1006172944667347</v>
      </c>
      <c r="F13">
        <f t="shared" si="4"/>
        <v>-3.3203904282202439</v>
      </c>
      <c r="G13">
        <f t="shared" si="4"/>
        <v>-2.880876135189383</v>
      </c>
      <c r="H13">
        <f t="shared" si="4"/>
        <v>0</v>
      </c>
      <c r="I13">
        <f t="shared" si="4"/>
        <v>0</v>
      </c>
      <c r="J13">
        <f t="shared" si="4"/>
        <v>0</v>
      </c>
    </row>
    <row r="14" spans="1:22" x14ac:dyDescent="0.25">
      <c r="A14" s="2" t="s">
        <v>2</v>
      </c>
      <c r="B14">
        <f>B2+B23</f>
        <v>-2.5626247940920086</v>
      </c>
      <c r="C14">
        <f>B14-1.96*(K3+K23)</f>
        <v>-6.2570812869633468</v>
      </c>
      <c r="D14">
        <f>B14+1.96*(K3+K23)</f>
        <v>1.1318316987793291</v>
      </c>
      <c r="E14">
        <f>E2+E23</f>
        <v>-2.6924172944667348</v>
      </c>
      <c r="F14">
        <f>E14-1.96*(L3+L23)</f>
        <v>-10.745095343385332</v>
      </c>
      <c r="G14">
        <f>E14+1.96*(L3+L23)</f>
        <v>5.360260754451863</v>
      </c>
      <c r="H14">
        <f t="shared" si="4"/>
        <v>0</v>
      </c>
      <c r="I14">
        <f t="shared" si="4"/>
        <v>0</v>
      </c>
      <c r="J14">
        <f t="shared" si="4"/>
        <v>0</v>
      </c>
    </row>
    <row r="15" spans="1:22" x14ac:dyDescent="0.25">
      <c r="A15" s="2" t="s">
        <v>3</v>
      </c>
      <c r="B15">
        <f>B2+B24</f>
        <v>-2.8102847940920084</v>
      </c>
      <c r="C15">
        <f t="shared" ref="C15:C19" si="5">B15-1.96*(K4+K24)</f>
        <v>-5.9257608922824474</v>
      </c>
      <c r="D15">
        <f t="shared" ref="D15:D19" si="6">B15+1.96*(K4+K24)</f>
        <v>0.30519130409843109</v>
      </c>
      <c r="E15">
        <f>E2+E24</f>
        <v>-2.6437172944667346</v>
      </c>
      <c r="F15">
        <f t="shared" ref="F15:F19" si="7">E15-1.96*(L4+L24)</f>
        <v>-11.966241326666028</v>
      </c>
      <c r="G15">
        <f t="shared" ref="G15:G19" si="8">E15+1.96*(L4+L24)</f>
        <v>6.6788067377325593</v>
      </c>
      <c r="H15">
        <f t="shared" si="4"/>
        <v>0</v>
      </c>
      <c r="I15">
        <f t="shared" si="4"/>
        <v>0</v>
      </c>
      <c r="J15">
        <f t="shared" si="4"/>
        <v>0</v>
      </c>
    </row>
    <row r="16" spans="1:22" x14ac:dyDescent="0.25">
      <c r="A16" s="2" t="s">
        <v>4</v>
      </c>
      <c r="B16">
        <f>B2+B25</f>
        <v>-2.7999847940920084</v>
      </c>
      <c r="C16">
        <f t="shared" si="5"/>
        <v>-8.6409850557542356</v>
      </c>
      <c r="D16">
        <f t="shared" si="6"/>
        <v>3.0410154675702179</v>
      </c>
      <c r="E16">
        <f>E2+E25</f>
        <v>-2.3662172944667348</v>
      </c>
      <c r="F16">
        <f t="shared" si="7"/>
        <v>-12.988541583385331</v>
      </c>
      <c r="G16">
        <f t="shared" si="8"/>
        <v>8.2561069944518621</v>
      </c>
      <c r="H16">
        <f t="shared" si="4"/>
        <v>0</v>
      </c>
      <c r="I16">
        <f t="shared" si="4"/>
        <v>0</v>
      </c>
      <c r="J16">
        <f t="shared" si="4"/>
        <v>0</v>
      </c>
    </row>
    <row r="17" spans="1:13" x14ac:dyDescent="0.25">
      <c r="A17" s="2" t="s">
        <v>5</v>
      </c>
      <c r="B17">
        <f>B2+B26</f>
        <v>-2.5910947940920086</v>
      </c>
      <c r="C17">
        <f>B17-1.96*(K6+K26)</f>
        <v>-7.7418668723728334</v>
      </c>
      <c r="D17">
        <f>B17+1.96*(K6+K26)</f>
        <v>2.5596772841888158</v>
      </c>
      <c r="E17">
        <f>E2+E26</f>
        <v>-3.2715172944667348</v>
      </c>
      <c r="F17">
        <f t="shared" si="7"/>
        <v>-8.087306529284481</v>
      </c>
      <c r="G17">
        <f t="shared" si="8"/>
        <v>1.5442719403510115</v>
      </c>
      <c r="H17">
        <f t="shared" si="4"/>
        <v>0</v>
      </c>
      <c r="I17">
        <f t="shared" si="4"/>
        <v>0</v>
      </c>
      <c r="J17">
        <f t="shared" si="4"/>
        <v>0</v>
      </c>
    </row>
    <row r="18" spans="1:13" x14ac:dyDescent="0.25">
      <c r="A18" s="2" t="s">
        <v>6</v>
      </c>
      <c r="B18">
        <f>B2+B27</f>
        <v>-2.5807347940920087</v>
      </c>
      <c r="C18">
        <f>B18-1.96*(K7+K27)</f>
        <v>-6.789544458886053</v>
      </c>
      <c r="D18">
        <f>B18+1.96*(K7+K27)</f>
        <v>1.6280748707020356</v>
      </c>
      <c r="E18">
        <f>E2+E27</f>
        <v>-3.1046582944667347</v>
      </c>
      <c r="F18">
        <f t="shared" si="7"/>
        <v>-16.310911423464095</v>
      </c>
      <c r="G18">
        <f t="shared" si="8"/>
        <v>10.101594834530625</v>
      </c>
      <c r="H18">
        <f t="shared" si="4"/>
        <v>0</v>
      </c>
      <c r="I18">
        <f t="shared" si="4"/>
        <v>0</v>
      </c>
      <c r="J18">
        <f t="shared" si="4"/>
        <v>0</v>
      </c>
    </row>
    <row r="19" spans="1:13" x14ac:dyDescent="0.25">
      <c r="A19" s="2" t="s">
        <v>7</v>
      </c>
      <c r="B19">
        <f>B2+B28</f>
        <v>-2.1919847940920087</v>
      </c>
      <c r="C19">
        <f t="shared" si="5"/>
        <v>-8.7603347895260235</v>
      </c>
      <c r="D19">
        <f t="shared" si="6"/>
        <v>4.376365201342006</v>
      </c>
      <c r="E19">
        <f>E2+E28</f>
        <v>-3.3405172944667347</v>
      </c>
      <c r="F19">
        <f t="shared" si="7"/>
        <v>-13.187606703385331</v>
      </c>
      <c r="G19">
        <f t="shared" si="8"/>
        <v>6.5065721144518625</v>
      </c>
      <c r="H19">
        <f t="shared" si="4"/>
        <v>0</v>
      </c>
      <c r="I19">
        <f t="shared" si="4"/>
        <v>0</v>
      </c>
      <c r="J19">
        <f t="shared" si="4"/>
        <v>0</v>
      </c>
    </row>
    <row r="21" spans="1:13" x14ac:dyDescent="0.25">
      <c r="B21" t="s">
        <v>32</v>
      </c>
      <c r="C21" t="s">
        <v>10</v>
      </c>
      <c r="D21" t="s">
        <v>9</v>
      </c>
      <c r="E21" t="s">
        <v>33</v>
      </c>
      <c r="F21" t="s">
        <v>12</v>
      </c>
      <c r="G21" t="s">
        <v>13</v>
      </c>
      <c r="H21" t="s">
        <v>34</v>
      </c>
      <c r="I21" t="s">
        <v>15</v>
      </c>
      <c r="J21" t="s">
        <v>16</v>
      </c>
      <c r="K21" s="2" t="s">
        <v>19</v>
      </c>
      <c r="L21" s="2" t="s">
        <v>20</v>
      </c>
      <c r="M21" s="2" t="s">
        <v>21</v>
      </c>
    </row>
    <row r="22" spans="1:13" x14ac:dyDescent="0.25">
      <c r="A22" s="2" t="s">
        <v>1</v>
      </c>
    </row>
    <row r="23" spans="1:13" x14ac:dyDescent="0.25">
      <c r="A23" s="2" t="s">
        <v>2</v>
      </c>
      <c r="B23">
        <v>1.0359999999999999E-2</v>
      </c>
      <c r="C23">
        <v>-0.35089999999999999</v>
      </c>
      <c r="D23">
        <v>0.36870000000000003</v>
      </c>
      <c r="E23">
        <v>0.40820000000000001</v>
      </c>
      <c r="F23">
        <v>-0.69779999999999998</v>
      </c>
      <c r="G23">
        <v>1.97</v>
      </c>
      <c r="H23">
        <v>0.40949999999999998</v>
      </c>
      <c r="I23">
        <v>-2.0830000000000002</v>
      </c>
      <c r="J23">
        <v>3.54</v>
      </c>
      <c r="K23">
        <f>(D23-C23)/2*1.96</f>
        <v>0.70520800000000006</v>
      </c>
      <c r="L23">
        <f>(G23-F23)/2*1.96</f>
        <v>2.6144439999999998</v>
      </c>
      <c r="M23">
        <f>(J23-I23)/2*1.96</f>
        <v>5.5105399999999998</v>
      </c>
    </row>
    <row r="24" spans="1:13" x14ac:dyDescent="0.25">
      <c r="A24" s="2" t="s">
        <v>3</v>
      </c>
      <c r="B24">
        <v>-0.23730000000000001</v>
      </c>
      <c r="C24">
        <v>-0.88839999999999997</v>
      </c>
      <c r="D24">
        <v>0.35289999999999999</v>
      </c>
      <c r="E24">
        <v>0.45689999999999997</v>
      </c>
      <c r="F24">
        <v>-0.97030000000000005</v>
      </c>
      <c r="G24">
        <v>3.032</v>
      </c>
      <c r="H24">
        <v>-0.3453</v>
      </c>
      <c r="I24">
        <v>-2.6120000000000001</v>
      </c>
      <c r="J24">
        <v>2.6560000000000001</v>
      </c>
      <c r="K24">
        <f>(D24-C24)/2*1.96</f>
        <v>1.2164739999999998</v>
      </c>
      <c r="L24">
        <f t="shared" ref="L24:L28" si="9">(G24-F24)/2*1.96</f>
        <v>3.9222539999999997</v>
      </c>
      <c r="M24">
        <f t="shared" ref="M24:M28" si="10">(J24-I24)/2*1.96</f>
        <v>5.1626400000000006</v>
      </c>
    </row>
    <row r="25" spans="1:13" x14ac:dyDescent="0.25">
      <c r="A25" s="2" t="s">
        <v>4</v>
      </c>
      <c r="B25">
        <v>-0.22700000000000001</v>
      </c>
      <c r="C25">
        <v>-0.93679999999999997</v>
      </c>
      <c r="D25">
        <v>0.4017</v>
      </c>
      <c r="E25">
        <v>0.73440000000000005</v>
      </c>
      <c r="F25">
        <v>-0.61460000000000004</v>
      </c>
      <c r="G25">
        <v>3.391</v>
      </c>
      <c r="H25">
        <v>1.411</v>
      </c>
      <c r="I25">
        <v>-0.56079999999999997</v>
      </c>
      <c r="J25">
        <v>5.3780000000000001</v>
      </c>
      <c r="K25">
        <f>(D25-C25)/2*1.96</f>
        <v>1.3117300000000001</v>
      </c>
      <c r="L25">
        <f t="shared" si="9"/>
        <v>3.9254880000000001</v>
      </c>
      <c r="M25">
        <f t="shared" si="10"/>
        <v>5.8200240000000001</v>
      </c>
    </row>
    <row r="26" spans="1:13" x14ac:dyDescent="0.25">
      <c r="A26" s="2" t="s">
        <v>5</v>
      </c>
      <c r="B26">
        <v>-1.8110000000000001E-2</v>
      </c>
      <c r="C26">
        <v>-0.49130000000000001</v>
      </c>
      <c r="D26">
        <v>0.48780000000000001</v>
      </c>
      <c r="E26">
        <v>-0.1709</v>
      </c>
      <c r="F26">
        <v>-0.80230000000000001</v>
      </c>
      <c r="G26">
        <v>0.50109999999999999</v>
      </c>
      <c r="H26">
        <v>-1.038</v>
      </c>
      <c r="I26">
        <v>-1.8720000000000001</v>
      </c>
      <c r="J26">
        <v>-0.2006</v>
      </c>
      <c r="K26">
        <f t="shared" ref="K26:K28" si="11">(D26-C26)/2*1.96</f>
        <v>0.95951800000000009</v>
      </c>
      <c r="L26">
        <f t="shared" si="9"/>
        <v>1.2773319999999999</v>
      </c>
      <c r="M26">
        <f t="shared" si="10"/>
        <v>1.6379720000000002</v>
      </c>
    </row>
    <row r="27" spans="1:13" x14ac:dyDescent="0.25">
      <c r="A27" s="2" t="s">
        <v>6</v>
      </c>
      <c r="B27">
        <v>-7.7499999999999999E-3</v>
      </c>
      <c r="C27">
        <v>-0.59799999999999998</v>
      </c>
      <c r="D27">
        <v>0.61029999999999995</v>
      </c>
      <c r="E27">
        <v>-4.0410000000000003E-3</v>
      </c>
      <c r="F27">
        <v>-2.5529999999999999</v>
      </c>
      <c r="G27">
        <v>2.62</v>
      </c>
      <c r="H27">
        <v>-5.4710000000000002E-3</v>
      </c>
      <c r="I27">
        <v>-3.593</v>
      </c>
      <c r="J27">
        <v>3.6440000000000001</v>
      </c>
      <c r="K27">
        <f t="shared" si="11"/>
        <v>1.184134</v>
      </c>
      <c r="L27">
        <f t="shared" si="9"/>
        <v>5.0695399999999999</v>
      </c>
      <c r="M27">
        <f t="shared" si="10"/>
        <v>7.0922599999999996</v>
      </c>
    </row>
    <row r="28" spans="1:13" x14ac:dyDescent="0.25">
      <c r="A28" s="2" t="s">
        <v>7</v>
      </c>
      <c r="B28">
        <v>0.38100000000000001</v>
      </c>
      <c r="C28">
        <v>-0.53110000000000002</v>
      </c>
      <c r="D28">
        <v>1.544</v>
      </c>
      <c r="E28">
        <v>-0.2399</v>
      </c>
      <c r="F28">
        <v>-2.097</v>
      </c>
      <c r="G28">
        <v>1.5049999999999999</v>
      </c>
      <c r="H28">
        <v>-0.39760000000000001</v>
      </c>
      <c r="I28">
        <v>-3.0009999999999999</v>
      </c>
      <c r="J28">
        <v>2.4740000000000002</v>
      </c>
      <c r="K28">
        <f t="shared" si="11"/>
        <v>2.033598</v>
      </c>
      <c r="L28">
        <f t="shared" si="9"/>
        <v>3.52996</v>
      </c>
      <c r="M28">
        <f t="shared" si="10"/>
        <v>5.3654999999999999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B9E9-522D-4EF1-9125-48258D748BB2}">
  <dimension ref="A1:J8"/>
  <sheetViews>
    <sheetView workbookViewId="0">
      <selection activeCell="B2" sqref="B2:J8"/>
    </sheetView>
  </sheetViews>
  <sheetFormatPr defaultRowHeight="15" x14ac:dyDescent="0.25"/>
  <sheetData>
    <row r="1" spans="1:10" x14ac:dyDescent="0.25">
      <c r="A1" t="s">
        <v>0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s="2" t="s">
        <v>1</v>
      </c>
      <c r="B2">
        <v>-2.5729847940920085</v>
      </c>
      <c r="C2">
        <v>-2.6732955549256743</v>
      </c>
      <c r="D2">
        <v>-2.4726794991526022</v>
      </c>
      <c r="E2">
        <v>-3.1006172944667347</v>
      </c>
      <c r="F2">
        <v>-3.3203904282202439</v>
      </c>
      <c r="G2">
        <v>-2.880876135189383</v>
      </c>
      <c r="H2">
        <v>0</v>
      </c>
      <c r="I2">
        <v>0</v>
      </c>
      <c r="J2">
        <v>0</v>
      </c>
    </row>
    <row r="3" spans="1:10" x14ac:dyDescent="0.25">
      <c r="A3" s="2" t="s">
        <v>2</v>
      </c>
      <c r="B3">
        <v>-2.5626247940920086</v>
      </c>
      <c r="C3">
        <v>-6.2570812869633468</v>
      </c>
      <c r="D3">
        <v>1.1318316987793291</v>
      </c>
      <c r="E3">
        <v>-2.6924172944667348</v>
      </c>
      <c r="F3">
        <v>-10.745095343385332</v>
      </c>
      <c r="G3">
        <v>5.360260754451863</v>
      </c>
      <c r="H3">
        <v>0</v>
      </c>
      <c r="I3">
        <v>0</v>
      </c>
      <c r="J3">
        <v>0</v>
      </c>
    </row>
    <row r="4" spans="1:10" x14ac:dyDescent="0.25">
      <c r="A4" s="2" t="s">
        <v>3</v>
      </c>
      <c r="B4">
        <v>-2.8102847940920084</v>
      </c>
      <c r="C4">
        <v>-5.9257608922824474</v>
      </c>
      <c r="D4">
        <v>0.30519130409843109</v>
      </c>
      <c r="E4">
        <v>-2.6437172944667346</v>
      </c>
      <c r="F4">
        <v>-11.966241326666028</v>
      </c>
      <c r="G4">
        <v>6.6788067377325593</v>
      </c>
      <c r="H4">
        <v>0</v>
      </c>
      <c r="I4">
        <v>0</v>
      </c>
      <c r="J4">
        <v>0</v>
      </c>
    </row>
    <row r="5" spans="1:10" x14ac:dyDescent="0.25">
      <c r="A5" s="2" t="s">
        <v>4</v>
      </c>
      <c r="B5">
        <v>-2.7999847940920084</v>
      </c>
      <c r="C5">
        <v>-8.6409850557542356</v>
      </c>
      <c r="D5">
        <v>3.0410154675702179</v>
      </c>
      <c r="E5">
        <v>-2.3662172944667348</v>
      </c>
      <c r="F5">
        <v>-12.988541583385331</v>
      </c>
      <c r="G5">
        <v>8.2561069944518621</v>
      </c>
      <c r="H5">
        <v>0</v>
      </c>
      <c r="I5">
        <v>0</v>
      </c>
      <c r="J5">
        <v>0</v>
      </c>
    </row>
    <row r="6" spans="1:10" x14ac:dyDescent="0.25">
      <c r="A6" s="2" t="s">
        <v>5</v>
      </c>
      <c r="B6">
        <v>-2.5910947940920086</v>
      </c>
      <c r="C6">
        <v>-7.7418668723728334</v>
      </c>
      <c r="D6">
        <v>2.5596772841888158</v>
      </c>
      <c r="E6">
        <v>-3.2715172944667348</v>
      </c>
      <c r="F6">
        <v>-8.087306529284481</v>
      </c>
      <c r="G6">
        <v>1.5442719403510115</v>
      </c>
      <c r="H6">
        <v>0</v>
      </c>
      <c r="I6">
        <v>0</v>
      </c>
      <c r="J6">
        <v>0</v>
      </c>
    </row>
    <row r="7" spans="1:10" x14ac:dyDescent="0.25">
      <c r="A7" s="2" t="s">
        <v>6</v>
      </c>
      <c r="B7">
        <v>-2.5807347940920087</v>
      </c>
      <c r="C7">
        <v>-6.789544458886053</v>
      </c>
      <c r="D7">
        <v>1.6280748707020356</v>
      </c>
      <c r="E7">
        <v>-3.1046582944667347</v>
      </c>
      <c r="F7">
        <v>-16.310911423464095</v>
      </c>
      <c r="G7">
        <v>10.101594834530625</v>
      </c>
      <c r="H7">
        <v>0</v>
      </c>
      <c r="I7">
        <v>0</v>
      </c>
      <c r="J7">
        <v>0</v>
      </c>
    </row>
    <row r="8" spans="1:10" x14ac:dyDescent="0.25">
      <c r="A8" s="2" t="s">
        <v>7</v>
      </c>
      <c r="B8">
        <v>-2.1919847940920087</v>
      </c>
      <c r="C8">
        <v>-8.7603347895260235</v>
      </c>
      <c r="D8">
        <v>4.376365201342006</v>
      </c>
      <c r="E8">
        <v>-3.3405172944667347</v>
      </c>
      <c r="F8">
        <v>-13.187606703385331</v>
      </c>
      <c r="G8">
        <v>6.5065721144518625</v>
      </c>
      <c r="H8">
        <v>0</v>
      </c>
      <c r="I8">
        <v>0</v>
      </c>
      <c r="J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Yixin Xu</dc:creator>
  <cp:lastModifiedBy>Yixin Xu</cp:lastModifiedBy>
  <dcterms:created xsi:type="dcterms:W3CDTF">2021-07-12T22:33:03Z</dcterms:created>
  <dcterms:modified xsi:type="dcterms:W3CDTF">2026-04-24T18:49:44Z</dcterms:modified>
</cp:coreProperties>
</file>