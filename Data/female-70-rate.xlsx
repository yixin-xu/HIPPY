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x18392\Desktop\HIPPY\semi Markov data\"/>
    </mc:Choice>
  </mc:AlternateContent>
  <xr:revisionPtr revIDLastSave="0" documentId="13_ncr:1_{B6F3CAFF-ABFC-43D6-88DF-875DF1F9E4F3}" xr6:coauthVersionLast="47" xr6:coauthVersionMax="47" xr10:uidLastSave="{00000000-0000-0000-0000-000000000000}"/>
  <bookViews>
    <workbookView xWindow="-120" yWindow="-120" windowWidth="24240" windowHeight="13020" xr2:uid="{59063D49-DBCA-413D-9017-76D2FD3ECE9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" l="1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Q8" i="3"/>
  <c r="L6" i="3"/>
  <c r="K5" i="3"/>
  <c r="Q5" i="3"/>
  <c r="L2" i="3"/>
  <c r="L7" i="3"/>
  <c r="K6" i="3"/>
  <c r="L3" i="3"/>
  <c r="D13" i="3"/>
  <c r="E19" i="3"/>
  <c r="B19" i="3"/>
  <c r="E18" i="3"/>
  <c r="B18" i="3"/>
  <c r="E17" i="3"/>
  <c r="B17" i="3"/>
  <c r="E16" i="3"/>
  <c r="B16" i="3"/>
  <c r="E15" i="3"/>
  <c r="B15" i="3"/>
  <c r="E14" i="3"/>
  <c r="B14" i="3"/>
  <c r="J13" i="3"/>
  <c r="I13" i="3"/>
  <c r="H13" i="3"/>
  <c r="G13" i="3"/>
  <c r="F13" i="3"/>
  <c r="E13" i="3"/>
  <c r="C13" i="3"/>
  <c r="B13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R8" i="3"/>
  <c r="M8" i="3"/>
  <c r="L8" i="3"/>
  <c r="K8" i="3"/>
  <c r="R7" i="3"/>
  <c r="Q7" i="3"/>
  <c r="M7" i="3"/>
  <c r="P7" i="3" s="1"/>
  <c r="K7" i="3"/>
  <c r="R6" i="3"/>
  <c r="Q6" i="3"/>
  <c r="M6" i="3"/>
  <c r="R5" i="3"/>
  <c r="M5" i="3"/>
  <c r="P5" i="3" s="1"/>
  <c r="L5" i="3"/>
  <c r="R4" i="3"/>
  <c r="Q4" i="3"/>
  <c r="M4" i="3"/>
  <c r="L4" i="3"/>
  <c r="K4" i="3"/>
  <c r="R3" i="3"/>
  <c r="Q3" i="3"/>
  <c r="M3" i="3"/>
  <c r="K3" i="3"/>
  <c r="M2" i="3"/>
  <c r="R23" i="2"/>
  <c r="Q23" i="2"/>
  <c r="M23" i="2"/>
  <c r="P23" i="2" s="1"/>
  <c r="L23" i="2"/>
  <c r="O23" i="2" s="1"/>
  <c r="U23" i="2" s="1"/>
  <c r="K23" i="2"/>
  <c r="R22" i="2"/>
  <c r="Q22" i="2"/>
  <c r="O22" i="2"/>
  <c r="U22" i="2" s="1"/>
  <c r="M22" i="2"/>
  <c r="L22" i="2"/>
  <c r="K22" i="2"/>
  <c r="R21" i="2"/>
  <c r="Q21" i="2"/>
  <c r="M21" i="2"/>
  <c r="P21" i="2" s="1"/>
  <c r="L21" i="2"/>
  <c r="K21" i="2"/>
  <c r="R20" i="2"/>
  <c r="Q20" i="2"/>
  <c r="M20" i="2"/>
  <c r="L20" i="2"/>
  <c r="K20" i="2"/>
  <c r="R19" i="2"/>
  <c r="Q19" i="2"/>
  <c r="M19" i="2"/>
  <c r="P19" i="2" s="1"/>
  <c r="L19" i="2"/>
  <c r="K19" i="2"/>
  <c r="R18" i="2"/>
  <c r="Q18" i="2"/>
  <c r="M18" i="2"/>
  <c r="P18" i="2" s="1"/>
  <c r="L18" i="2"/>
  <c r="O18" i="2" s="1"/>
  <c r="U18" i="2" s="1"/>
  <c r="K18" i="2"/>
  <c r="N18" i="2" s="1"/>
  <c r="T18" i="2" s="1"/>
  <c r="M17" i="2"/>
  <c r="L17" i="2"/>
  <c r="K17" i="2"/>
  <c r="C11" i="2"/>
  <c r="A10" i="2"/>
  <c r="C9" i="2"/>
  <c r="C8" i="2"/>
  <c r="C5" i="2"/>
  <c r="C4" i="2"/>
  <c r="C3" i="2"/>
  <c r="C2" i="2"/>
  <c r="G17" i="3" l="1"/>
  <c r="O3" i="3"/>
  <c r="U3" i="3" s="1"/>
  <c r="D19" i="3"/>
  <c r="F17" i="3"/>
  <c r="G18" i="3"/>
  <c r="K2" i="3"/>
  <c r="N8" i="3" s="1"/>
  <c r="T8" i="3" s="1"/>
  <c r="D16" i="3"/>
  <c r="G19" i="3"/>
  <c r="G16" i="3"/>
  <c r="D18" i="3"/>
  <c r="D15" i="3"/>
  <c r="C18" i="3"/>
  <c r="O6" i="3"/>
  <c r="U6" i="3" s="1"/>
  <c r="G15" i="3"/>
  <c r="C17" i="3"/>
  <c r="C14" i="3"/>
  <c r="F15" i="3"/>
  <c r="D17" i="3"/>
  <c r="F18" i="3"/>
  <c r="F14" i="3"/>
  <c r="G14" i="3"/>
  <c r="F16" i="3"/>
  <c r="C19" i="3"/>
  <c r="F19" i="3"/>
  <c r="D14" i="3"/>
  <c r="C15" i="3"/>
  <c r="C16" i="3"/>
  <c r="O4" i="3"/>
  <c r="U4" i="3" s="1"/>
  <c r="O7" i="3"/>
  <c r="U7" i="3" s="1"/>
  <c r="N20" i="2"/>
  <c r="T20" i="2" s="1"/>
  <c r="N23" i="2"/>
  <c r="T23" i="2" s="1"/>
  <c r="P4" i="3"/>
  <c r="N21" i="2"/>
  <c r="T21" i="2" s="1"/>
  <c r="N22" i="2"/>
  <c r="T22" i="2" s="1"/>
  <c r="P3" i="3"/>
  <c r="P6" i="3"/>
  <c r="O21" i="2"/>
  <c r="U21" i="2" s="1"/>
  <c r="N19" i="2"/>
  <c r="T19" i="2" s="1"/>
  <c r="P20" i="2"/>
  <c r="O19" i="2"/>
  <c r="U19" i="2" s="1"/>
  <c r="P22" i="2"/>
  <c r="O5" i="3"/>
  <c r="U5" i="3" s="1"/>
  <c r="N7" i="3"/>
  <c r="T7" i="3" s="1"/>
  <c r="O8" i="3"/>
  <c r="U8" i="3" s="1"/>
  <c r="P8" i="3"/>
  <c r="O20" i="2"/>
  <c r="U20" i="2" s="1"/>
  <c r="N6" i="3" l="1"/>
  <c r="T6" i="3" s="1"/>
  <c r="N4" i="3"/>
  <c r="T4" i="3" s="1"/>
  <c r="N3" i="3"/>
  <c r="T3" i="3" s="1"/>
  <c r="N5" i="3"/>
  <c r="T5" i="3" s="1"/>
  <c r="C7" i="2" l="1"/>
  <c r="C6" i="2"/>
  <c r="C10" i="2"/>
  <c r="C12" i="2"/>
  <c r="C13" i="2"/>
</calcChain>
</file>

<file path=xl/sharedStrings.xml><?xml version="1.0" encoding="utf-8"?>
<sst xmlns="http://schemas.openxmlformats.org/spreadsheetml/2006/main" count="161" uniqueCount="40">
  <si>
    <t>treatment</t>
  </si>
  <si>
    <t xml:space="preserve">    Cem CR_Fix Mod</t>
  </si>
  <si>
    <t xml:space="preserve">    Cem CR_Mob Mod</t>
  </si>
  <si>
    <t xml:space="preserve">    Cem PS_Fix Mod</t>
  </si>
  <si>
    <t xml:space="preserve">    Cem PS_Mob Mod</t>
  </si>
  <si>
    <t xml:space="preserve">    Unc CR_Fix Mod</t>
  </si>
  <si>
    <t xml:space="preserve">    Unc CR_Mob Mod</t>
  </si>
  <si>
    <t xml:space="preserve">    Hyb CR_Fix Mod</t>
  </si>
  <si>
    <t>mean1</t>
  </si>
  <si>
    <t>LL1</t>
  </si>
  <si>
    <t>UL1</t>
  </si>
  <si>
    <t>mean2</t>
  </si>
  <si>
    <t>LL2</t>
  </si>
  <si>
    <t>UL2</t>
  </si>
  <si>
    <t>mean3</t>
  </si>
  <si>
    <t>LL3</t>
  </si>
  <si>
    <t>UL3</t>
  </si>
  <si>
    <t>average</t>
  </si>
  <si>
    <t>rank</t>
  </si>
  <si>
    <t>implant cost</t>
  </si>
  <si>
    <t>early</t>
  </si>
  <si>
    <t>SE1</t>
  </si>
  <si>
    <t>SE2</t>
  </si>
  <si>
    <t>SE3</t>
  </si>
  <si>
    <t>SE1(LHR)</t>
  </si>
  <si>
    <t>SE2(LHR)</t>
  </si>
  <si>
    <t>SE3(LHR)</t>
  </si>
  <si>
    <t>mean[,1]</t>
  </si>
  <si>
    <t>mean[,2]</t>
  </si>
  <si>
    <t>mean[,3]</t>
  </si>
  <si>
    <t>precision[,1]</t>
  </si>
  <si>
    <t>precision[,2]</t>
  </si>
  <si>
    <t>precision[,3]</t>
  </si>
  <si>
    <t>NA</t>
  </si>
  <si>
    <t>LHR1</t>
  </si>
  <si>
    <t>LHR2</t>
  </si>
  <si>
    <t>LHR3</t>
  </si>
  <si>
    <t>Cemented</t>
  </si>
  <si>
    <t>Uncemented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</si>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</sst>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C49F-E43B-461E-9D2D-2ACFAD4747EB}">
  <dimension ref="A1:J4"/>
  <sheetViews>
    <sheetView tabSelected="1" workbookViewId="0">
      <selection activeCell="N17" sqref="N17"/>
    </sheetView>
  </sheetViews>
  <sheetFormatPr defaultRowHeight="15" x14ac:dyDescent="0.25"/>
  <cols>
    <col min="1" max="1" width="24" customWidth="1"/>
    <col min="5" max="5" width="14.85546875" customWidth="1"/>
    <col min="14" max="14" width="10" customWidth="1"/>
    <col min="15" max="15" width="16.85546875" customWidth="1"/>
  </cols>
  <sheetData>
    <row r="1" spans="1:10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s="6" t="s">
        <v>37</v>
      </c>
      <c r="B2">
        <v>-5.42</v>
      </c>
      <c r="C2" s="6">
        <v>-5.484</v>
      </c>
      <c r="D2" s="6">
        <v>-5.3559999999999999</v>
      </c>
      <c r="E2">
        <v>-6.2359999999999998</v>
      </c>
      <c r="F2" s="6">
        <v>-6.3170000000000002</v>
      </c>
      <c r="G2" s="6">
        <v>-6.1550000000000002</v>
      </c>
      <c r="H2">
        <v>-5.7439999999999998</v>
      </c>
      <c r="I2" s="6">
        <v>-6.0149999999999997</v>
      </c>
      <c r="J2" s="6">
        <v>-5.4729999999999999</v>
      </c>
    </row>
    <row r="3" spans="1:10" x14ac:dyDescent="0.25">
      <c r="A3" s="6" t="s">
        <v>38</v>
      </c>
      <c r="B3">
        <v>-5.15</v>
      </c>
      <c r="C3" s="6">
        <v>-5.226</v>
      </c>
      <c r="D3" s="6">
        <v>-5.0739999999999998</v>
      </c>
      <c r="E3">
        <v>-6.1559999999999997</v>
      </c>
      <c r="F3" s="6">
        <v>-6.2610000000000001</v>
      </c>
      <c r="G3" s="6">
        <v>-6.0510000000000002</v>
      </c>
      <c r="H3">
        <v>-5.4960000000000004</v>
      </c>
      <c r="I3" s="6">
        <v>-5.8339999999999996</v>
      </c>
      <c r="J3" s="6">
        <v>-5.1580000000000004</v>
      </c>
    </row>
    <row r="4" spans="1:10" x14ac:dyDescent="0.25">
      <c r="A4" s="6" t="s">
        <v>39</v>
      </c>
      <c r="B4">
        <v>-5.2649999999999997</v>
      </c>
      <c r="C4" s="6">
        <v>-5.3579999999999997</v>
      </c>
      <c r="D4" s="6">
        <v>-5.1719999999999997</v>
      </c>
      <c r="E4">
        <v>-6.234</v>
      </c>
      <c r="F4" s="6">
        <v>-6.3460000000000001</v>
      </c>
      <c r="G4" s="6">
        <v>-6.1219999999999999</v>
      </c>
      <c r="H4">
        <v>-7.12</v>
      </c>
      <c r="I4" s="6">
        <v>-7.9409999999999998</v>
      </c>
      <c r="J4" s="6">
        <v>-6.2990000000000004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B3A1-3D4E-405F-B904-7CB4D6620DC8}">
  <dimension ref="A1:V23"/>
  <sheetViews>
    <sheetView topLeftCell="A10" workbookViewId="0">
      <selection activeCell="A16" sqref="A16:XFD23"/>
    </sheetView>
  </sheetViews>
  <sheetFormatPr defaultRowHeight="15" x14ac:dyDescent="0.25"/>
  <sheetData>
    <row r="1" spans="1:22" x14ac:dyDescent="0.25">
      <c r="A1" t="s">
        <v>20</v>
      </c>
      <c r="C1" t="s">
        <v>17</v>
      </c>
      <c r="D1" t="s">
        <v>18</v>
      </c>
      <c r="E1" t="s">
        <v>19</v>
      </c>
    </row>
    <row r="2" spans="1:22" x14ac:dyDescent="0.25">
      <c r="A2">
        <v>2.4954E-3</v>
      </c>
      <c r="B2">
        <v>1</v>
      </c>
      <c r="C2" t="e">
        <f>AVERAGE(Sheet1!#REF!+Sheet1!#REF!+Sheet1!#REF!)</f>
        <v>#REF!</v>
      </c>
      <c r="D2">
        <v>1</v>
      </c>
      <c r="E2">
        <v>650</v>
      </c>
    </row>
    <row r="3" spans="1:22" x14ac:dyDescent="0.25">
      <c r="A3">
        <v>2.8240000000000001E-3</v>
      </c>
      <c r="B3">
        <v>3</v>
      </c>
      <c r="C3" t="e">
        <f>AVERAGE(Sheet1!#REF!+Sheet1!#REF!+Sheet1!#REF!)</f>
        <v>#REF!</v>
      </c>
      <c r="D3">
        <v>2</v>
      </c>
      <c r="E3">
        <v>950.21</v>
      </c>
    </row>
    <row r="4" spans="1:22" x14ac:dyDescent="0.25">
      <c r="A4">
        <v>3.6881000000000001E-3</v>
      </c>
      <c r="C4" t="e">
        <f>AVERAGE(Sheet1!#REF!+Sheet1!#REF!+Sheet1!#REF!)</f>
        <v>#REF!</v>
      </c>
    </row>
    <row r="5" spans="1:22" x14ac:dyDescent="0.25">
      <c r="A5">
        <v>2.6254E-3</v>
      </c>
      <c r="B5">
        <v>2</v>
      </c>
      <c r="C5" t="e">
        <f>AVERAGE(Sheet1!#REF!+Sheet1!#REF!+Sheet1!#REF!)</f>
        <v>#REF!</v>
      </c>
    </row>
    <row r="6" spans="1:22" x14ac:dyDescent="0.25">
      <c r="A6">
        <v>5.4929000000000002E-3</v>
      </c>
      <c r="C6" t="e">
        <f>AVERAGE(Sheet1!#REF!+Sheet1!#REF!+Sheet1!#REF!)</f>
        <v>#REF!</v>
      </c>
    </row>
    <row r="7" spans="1:22" x14ac:dyDescent="0.25">
      <c r="A7">
        <v>5.5344000000000001E-3</v>
      </c>
      <c r="C7" t="e">
        <f>AVERAGE(Sheet1!#REF!+Sheet1!#REF!+Sheet1!#REF!)</f>
        <v>#REF!</v>
      </c>
      <c r="D7">
        <v>1</v>
      </c>
      <c r="E7">
        <v>1547.73</v>
      </c>
    </row>
    <row r="8" spans="1:22" x14ac:dyDescent="0.25">
      <c r="A8">
        <v>4.1609999999999998E-3</v>
      </c>
      <c r="C8" t="e">
        <f>AVERAGE(Sheet1!#REF!+Sheet1!#REF!+Sheet1!#REF!)</f>
        <v>#REF!</v>
      </c>
    </row>
    <row r="9" spans="1:22" x14ac:dyDescent="0.25">
      <c r="A9">
        <v>3.6963E-3</v>
      </c>
      <c r="C9" t="e">
        <f>AVERAGE(Sheet1!#REF!+Sheet1!#REF!+Sheet1!#REF!)</f>
        <v>#REF!</v>
      </c>
    </row>
    <row r="10" spans="1:22" x14ac:dyDescent="0.25">
      <c r="A10" s="1">
        <f>AVERAGE(A2+A3+A4+A5+A6+A7+A8+A9+A11+A12)</f>
        <v>6.5212300000000001E-2</v>
      </c>
      <c r="C10" t="e">
        <f>AVERAGE(Sheet1!#REF!+Sheet1!#REF!+Sheet1!#REF!)</f>
        <v>#REF!</v>
      </c>
      <c r="D10">
        <v>1</v>
      </c>
      <c r="E10">
        <v>1275.27</v>
      </c>
    </row>
    <row r="11" spans="1:22" x14ac:dyDescent="0.25">
      <c r="A11">
        <v>9.4716999999999996E-3</v>
      </c>
      <c r="C11" t="e">
        <f>AVERAGE(Sheet1!#REF!+Sheet1!#REF!+Sheet1!#REF!)</f>
        <v>#REF!</v>
      </c>
    </row>
    <row r="12" spans="1:22" x14ac:dyDescent="0.25">
      <c r="A12">
        <v>2.5223099999999998E-2</v>
      </c>
      <c r="C12" t="e">
        <f>AVERAGE(Sheet1!#REF!+Sheet1!#REF!+Sheet1!#REF!)</f>
        <v>#REF!</v>
      </c>
      <c r="D12">
        <v>1</v>
      </c>
      <c r="E12" s="2">
        <v>1152.57</v>
      </c>
    </row>
    <row r="13" spans="1:22" x14ac:dyDescent="0.25">
      <c r="A13" s="1">
        <v>6.5212300000000001E-2</v>
      </c>
      <c r="C13" t="e">
        <f>AVERAGE(Sheet1!#REF!+Sheet1!#REF!+Sheet1!#REF!)</f>
        <v>#REF!</v>
      </c>
      <c r="D13">
        <v>1</v>
      </c>
      <c r="E13" s="3">
        <v>1386.36</v>
      </c>
    </row>
    <row r="16" spans="1:22" x14ac:dyDescent="0.25"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  <c r="K16" t="s">
        <v>21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s="4" t="s">
        <v>27</v>
      </c>
      <c r="R16" s="4" t="s">
        <v>28</v>
      </c>
      <c r="S16" s="4" t="s">
        <v>29</v>
      </c>
      <c r="T16" s="4" t="s">
        <v>30</v>
      </c>
      <c r="U16" s="4" t="s">
        <v>31</v>
      </c>
      <c r="V16" s="4" t="s">
        <v>32</v>
      </c>
    </row>
    <row r="17" spans="1:22" x14ac:dyDescent="0.25">
      <c r="A17" t="s">
        <v>1</v>
      </c>
      <c r="B17">
        <v>2.8240000000000001E-3</v>
      </c>
      <c r="C17" s="3">
        <v>2.3716000000000002E-3</v>
      </c>
      <c r="D17" s="3">
        <v>3.3628E-3</v>
      </c>
      <c r="E17" s="3">
        <v>7.6449999999999999E-4</v>
      </c>
      <c r="F17" s="3">
        <v>5.3129999999999996E-4</v>
      </c>
      <c r="G17">
        <v>1.1002E-3</v>
      </c>
      <c r="H17" s="1">
        <v>0</v>
      </c>
      <c r="I17" s="1">
        <v>0</v>
      </c>
      <c r="J17" s="1">
        <v>0</v>
      </c>
      <c r="K17">
        <f>(D17-C17)/2*1.96</f>
        <v>9.7137599999999982E-4</v>
      </c>
      <c r="L17">
        <f>(G17-F17)/2*1.96</f>
        <v>5.5752199999999997E-4</v>
      </c>
      <c r="M17">
        <f>(J17-I17)/2*1.96</f>
        <v>0</v>
      </c>
      <c r="Q17" s="4" t="s">
        <v>33</v>
      </c>
      <c r="R17" s="4" t="s">
        <v>33</v>
      </c>
      <c r="S17" s="4" t="s">
        <v>33</v>
      </c>
      <c r="T17" s="4" t="s">
        <v>33</v>
      </c>
      <c r="U17" s="4" t="s">
        <v>33</v>
      </c>
      <c r="V17" s="4" t="s">
        <v>33</v>
      </c>
    </row>
    <row r="18" spans="1:22" x14ac:dyDescent="0.25">
      <c r="A18" t="s">
        <v>2</v>
      </c>
      <c r="B18">
        <v>3.6881000000000001E-3</v>
      </c>
      <c r="C18">
        <v>1.9189999999999999E-3</v>
      </c>
      <c r="D18">
        <v>7.0882000000000002E-3</v>
      </c>
      <c r="E18">
        <v>8.2740000000000005E-4</v>
      </c>
      <c r="F18">
        <v>2.0689999999999999E-4</v>
      </c>
      <c r="G18">
        <v>3.3083000000000001E-3</v>
      </c>
      <c r="H18" s="1">
        <v>0</v>
      </c>
      <c r="I18" s="1">
        <v>0</v>
      </c>
      <c r="J18" s="1">
        <v>0</v>
      </c>
      <c r="K18">
        <f>(D18-C18)/2*1.96</f>
        <v>5.0658160000000008E-3</v>
      </c>
      <c r="L18">
        <f>(G18-F18)/2*1.96</f>
        <v>3.0393720000000003E-3</v>
      </c>
      <c r="M18">
        <f>(J18-I18)/2*1.96</f>
        <v>0</v>
      </c>
      <c r="N18">
        <f>SQRT(K18^2+K17^2)</f>
        <v>5.1581065401203191E-3</v>
      </c>
      <c r="O18">
        <f>SQRT(L18^2+L17^2)</f>
        <v>3.090082998054907E-3</v>
      </c>
      <c r="P18">
        <f>SQRT(M18^2+M17^2)</f>
        <v>0</v>
      </c>
      <c r="Q18" s="4">
        <f>LN(B18)-LN(B17)</f>
        <v>0.26695710066320988</v>
      </c>
      <c r="R18" s="4">
        <f>LN(E18)-LN(E17)</f>
        <v>7.9066228658193793E-2</v>
      </c>
      <c r="S18" s="4" t="s">
        <v>33</v>
      </c>
      <c r="T18" s="4">
        <f>1/(N18^2)</f>
        <v>37585.417918541039</v>
      </c>
      <c r="U18" s="4">
        <f>1/(O18^2)</f>
        <v>104727.2527246727</v>
      </c>
      <c r="V18" s="4" t="s">
        <v>33</v>
      </c>
    </row>
    <row r="19" spans="1:22" x14ac:dyDescent="0.25">
      <c r="A19" t="s">
        <v>3</v>
      </c>
      <c r="B19">
        <v>2.6254E-3</v>
      </c>
      <c r="C19">
        <v>1.9784999999999998E-3</v>
      </c>
      <c r="D19">
        <v>3.4838999999999998E-3</v>
      </c>
      <c r="E19">
        <v>1.1163E-3</v>
      </c>
      <c r="F19">
        <v>7.0330000000000002E-4</v>
      </c>
      <c r="G19">
        <v>1.7718E-3</v>
      </c>
      <c r="H19" s="1">
        <v>0</v>
      </c>
      <c r="I19" s="1">
        <v>0</v>
      </c>
      <c r="J19" s="1">
        <v>0</v>
      </c>
      <c r="K19">
        <f t="shared" ref="K19:K23" si="0">(D19-C19)/2*1.96</f>
        <v>1.475292E-3</v>
      </c>
      <c r="L19">
        <f t="shared" ref="L19:L23" si="1">(G19-F19)/2*1.96</f>
        <v>1.0471300000000001E-3</v>
      </c>
      <c r="M19">
        <f t="shared" ref="M19:M23" si="2">(J19-I19)/2*1.96</f>
        <v>0</v>
      </c>
      <c r="N19">
        <f>SQRT(K19^2+K17^2)</f>
        <v>1.7663685398692992E-3</v>
      </c>
      <c r="O19">
        <f>SQRT(L19^2+L17^2)</f>
        <v>1.1863018238981175E-3</v>
      </c>
      <c r="P19">
        <f>SQRT(M19^2+M17^2)</f>
        <v>0</v>
      </c>
      <c r="Q19" s="4">
        <f>LN(B19)-LN(B17)</f>
        <v>-7.2921054243825445E-2</v>
      </c>
      <c r="R19" s="4">
        <f>LN(E19)-LN(E17)</f>
        <v>0.37855289865156916</v>
      </c>
      <c r="S19" s="4" t="s">
        <v>33</v>
      </c>
      <c r="T19" s="4">
        <f t="shared" ref="T19:U23" si="3">1/(N19^2)</f>
        <v>320506.88100257365</v>
      </c>
      <c r="U19" s="4">
        <f t="shared" si="3"/>
        <v>710574.47648238146</v>
      </c>
      <c r="V19" s="4" t="s">
        <v>33</v>
      </c>
    </row>
    <row r="20" spans="1:22" x14ac:dyDescent="0.25">
      <c r="A20" t="s">
        <v>4</v>
      </c>
      <c r="B20">
        <v>5.4929000000000002E-3</v>
      </c>
      <c r="C20">
        <v>1.7715999999999999E-3</v>
      </c>
      <c r="D20">
        <v>1.7031000000000001E-2</v>
      </c>
      <c r="E20" s="1">
        <v>8.7889000000000005E-3</v>
      </c>
      <c r="F20" s="1">
        <v>2.7897E-3</v>
      </c>
      <c r="G20" s="1">
        <v>3.8528800000000002E-2</v>
      </c>
      <c r="H20" s="1">
        <v>0</v>
      </c>
      <c r="I20" s="1">
        <v>0</v>
      </c>
      <c r="J20" s="1">
        <v>0</v>
      </c>
      <c r="K20">
        <f t="shared" si="0"/>
        <v>1.4954212000000001E-2</v>
      </c>
      <c r="L20">
        <f t="shared" si="1"/>
        <v>3.5024317999999999E-2</v>
      </c>
      <c r="M20">
        <f t="shared" si="2"/>
        <v>0</v>
      </c>
      <c r="N20">
        <f>SQRT(K20^2+K17^2)</f>
        <v>1.4985727472309113E-2</v>
      </c>
      <c r="O20">
        <f>SQRT(L20^2+L17^2)</f>
        <v>3.5028755075589085E-2</v>
      </c>
      <c r="P20">
        <f>SQRT(M20^2+M17^2)</f>
        <v>0</v>
      </c>
      <c r="Q20" s="4">
        <f>LN(B20)-LN(B17)</f>
        <v>0.66530202957560824</v>
      </c>
      <c r="R20" s="4">
        <f>LN(E20)-LN(E17)</f>
        <v>2.4420228152721126</v>
      </c>
      <c r="S20" s="4" t="s">
        <v>33</v>
      </c>
      <c r="T20" s="4">
        <f t="shared" si="3"/>
        <v>4452.9143253746724</v>
      </c>
      <c r="U20" s="4">
        <f t="shared" si="3"/>
        <v>814.98683718942527</v>
      </c>
      <c r="V20" s="4" t="s">
        <v>33</v>
      </c>
    </row>
    <row r="21" spans="1:22" x14ac:dyDescent="0.25">
      <c r="A21" t="s">
        <v>5</v>
      </c>
      <c r="B21">
        <v>4.1609999999999998E-3</v>
      </c>
      <c r="C21">
        <v>1.5617000000000001E-3</v>
      </c>
      <c r="D21">
        <v>1.10867E-2</v>
      </c>
      <c r="E21">
        <v>2.7058E-3</v>
      </c>
      <c r="F21">
        <v>8.7270000000000002E-4</v>
      </c>
      <c r="G21">
        <v>8.3894999999999994E-3</v>
      </c>
      <c r="H21" s="1">
        <v>0</v>
      </c>
      <c r="I21" s="1">
        <v>0</v>
      </c>
      <c r="J21" s="1">
        <v>0</v>
      </c>
      <c r="K21">
        <f t="shared" si="0"/>
        <v>9.334499999999999E-3</v>
      </c>
      <c r="L21">
        <f t="shared" si="1"/>
        <v>7.3664639999999997E-3</v>
      </c>
      <c r="M21">
        <f t="shared" si="2"/>
        <v>0</v>
      </c>
      <c r="N21">
        <f>SQRT(K21^2+K17^2)</f>
        <v>9.3849060508550634E-3</v>
      </c>
      <c r="O21">
        <f>SQRT(L21^2+L17^2)</f>
        <v>7.3875315663474491E-3</v>
      </c>
      <c r="P21">
        <f>SQRT(M21^2+M17^2)</f>
        <v>0</v>
      </c>
      <c r="Q21" s="4">
        <f>LN(B21)-LN(B17)</f>
        <v>0.38760111036980849</v>
      </c>
      <c r="R21" s="4">
        <f>LN(E21)-LN(E17)</f>
        <v>1.2639308708001424</v>
      </c>
      <c r="S21" s="4" t="s">
        <v>33</v>
      </c>
      <c r="T21" s="4">
        <f t="shared" si="3"/>
        <v>11353.771280347908</v>
      </c>
      <c r="U21" s="4">
        <f t="shared" si="3"/>
        <v>18323.199105342144</v>
      </c>
      <c r="V21" s="4" t="s">
        <v>33</v>
      </c>
    </row>
    <row r="22" spans="1:22" x14ac:dyDescent="0.25">
      <c r="A22" t="s">
        <v>6</v>
      </c>
      <c r="B22">
        <v>3.6963E-3</v>
      </c>
      <c r="C22">
        <v>1.3872999999999999E-3</v>
      </c>
      <c r="D22">
        <v>9.8483000000000008E-3</v>
      </c>
      <c r="E22">
        <v>7.7360000000000005E-4</v>
      </c>
      <c r="F22">
        <v>1.0900000000000001E-4</v>
      </c>
      <c r="G22">
        <v>5.4916000000000001E-3</v>
      </c>
      <c r="H22" s="1">
        <v>0</v>
      </c>
      <c r="I22" s="1">
        <v>0</v>
      </c>
      <c r="J22" s="1">
        <v>0</v>
      </c>
      <c r="K22">
        <f t="shared" si="0"/>
        <v>8.2917800000000021E-3</v>
      </c>
      <c r="L22">
        <f t="shared" si="1"/>
        <v>5.2749480000000007E-3</v>
      </c>
      <c r="M22">
        <f t="shared" si="2"/>
        <v>0</v>
      </c>
      <c r="N22">
        <f>SQRT(K22^2+K17^2)</f>
        <v>8.3484841080148208E-3</v>
      </c>
      <c r="O22">
        <f>SQRT(L22^2+L17^2)</f>
        <v>5.3043290983109262E-3</v>
      </c>
      <c r="P22">
        <f>SQRT(M22^2+M17^2)</f>
        <v>0</v>
      </c>
      <c r="Q22" s="4">
        <f>LN(B22)-LN(B17)</f>
        <v>0.26917799968560008</v>
      </c>
      <c r="R22" s="4">
        <f>LN(E22)-LN(E17)</f>
        <v>1.1832918769967726E-2</v>
      </c>
      <c r="S22" s="4" t="s">
        <v>33</v>
      </c>
      <c r="T22" s="4">
        <f t="shared" si="3"/>
        <v>14347.781373289803</v>
      </c>
      <c r="U22" s="4">
        <f t="shared" si="3"/>
        <v>35541.772066888538</v>
      </c>
      <c r="V22" s="4" t="s">
        <v>33</v>
      </c>
    </row>
    <row r="23" spans="1:22" x14ac:dyDescent="0.25">
      <c r="A23" t="s">
        <v>7</v>
      </c>
      <c r="B23">
        <v>9.4716999999999996E-3</v>
      </c>
      <c r="C23">
        <v>3.5549000000000002E-3</v>
      </c>
      <c r="D23">
        <v>2.5236399999999999E-2</v>
      </c>
      <c r="E23">
        <v>1.7936E-3</v>
      </c>
      <c r="F23">
        <v>2.5270000000000002E-4</v>
      </c>
      <c r="G23">
        <v>1.27332E-2</v>
      </c>
      <c r="H23" s="1">
        <v>0</v>
      </c>
      <c r="I23" s="1">
        <v>0</v>
      </c>
      <c r="J23" s="1">
        <v>0</v>
      </c>
      <c r="K23">
        <f t="shared" si="0"/>
        <v>2.1247869999999999E-2</v>
      </c>
      <c r="L23">
        <f t="shared" si="1"/>
        <v>1.2230889999999999E-2</v>
      </c>
      <c r="M23">
        <f t="shared" si="2"/>
        <v>0</v>
      </c>
      <c r="N23">
        <f>SQRT(K23^2+K17^2)</f>
        <v>2.1270062314677783E-2</v>
      </c>
      <c r="O23">
        <f>SQRT(L23^2+L17^2)</f>
        <v>1.2243590199471069E-2</v>
      </c>
      <c r="P23">
        <f>SQRT(M23^2+M17^2)</f>
        <v>0</v>
      </c>
      <c r="Q23" s="4">
        <f>LN(B23)-LN(B17)</f>
        <v>1.2101540857117792</v>
      </c>
      <c r="R23" s="4">
        <f>LN(E23)-LN(E17)</f>
        <v>0.852758026948778</v>
      </c>
      <c r="S23" s="4" t="s">
        <v>33</v>
      </c>
      <c r="T23" s="4">
        <f t="shared" si="3"/>
        <v>2210.3572657402669</v>
      </c>
      <c r="U23" s="4">
        <f t="shared" si="3"/>
        <v>6670.8692710542255</v>
      </c>
      <c r="V23" s="4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1CC5-9B31-4C94-8C6E-896FC79DDBA1}">
  <dimension ref="A1:V28"/>
  <sheetViews>
    <sheetView zoomScale="106" zoomScaleNormal="106" workbookViewId="0">
      <selection activeCell="B13" sqref="B13:J19"/>
    </sheetView>
  </sheetViews>
  <sheetFormatPr defaultRowHeight="15" x14ac:dyDescent="0.25"/>
  <sheetData>
    <row r="1" spans="1:22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</row>
    <row r="2" spans="1:22" x14ac:dyDescent="0.25">
      <c r="A2" t="s">
        <v>1</v>
      </c>
      <c r="B2">
        <v>-2.5491353076202339</v>
      </c>
      <c r="C2">
        <v>-2.6249585583270738</v>
      </c>
      <c r="D2">
        <v>-2.4732989612548746</v>
      </c>
      <c r="E2">
        <v>-3.1166225102516609</v>
      </c>
      <c r="F2">
        <v>-3.2746601840902629</v>
      </c>
      <c r="G2">
        <v>-2.958528359386253</v>
      </c>
      <c r="H2" s="1">
        <v>0</v>
      </c>
      <c r="I2" s="1">
        <v>0</v>
      </c>
      <c r="J2" s="1">
        <v>0</v>
      </c>
      <c r="K2">
        <f>(D2-C2)/2*1.96</f>
        <v>0.14862640513075523</v>
      </c>
      <c r="L2">
        <f>(G2-F2)/2*1.96</f>
        <v>0.3098091882099297</v>
      </c>
      <c r="M2">
        <f>(J2-I2)/2*1.96</f>
        <v>0</v>
      </c>
      <c r="Q2" s="4" t="s">
        <v>33</v>
      </c>
      <c r="R2" s="4" t="s">
        <v>33</v>
      </c>
      <c r="S2" s="4" t="s">
        <v>33</v>
      </c>
      <c r="T2" s="4" t="s">
        <v>33</v>
      </c>
      <c r="U2" s="4" t="s">
        <v>33</v>
      </c>
      <c r="V2" s="4" t="s">
        <v>33</v>
      </c>
    </row>
    <row r="3" spans="1:22" x14ac:dyDescent="0.25">
      <c r="A3" t="s">
        <v>2</v>
      </c>
      <c r="B3">
        <v>-2.4331973118973109</v>
      </c>
      <c r="C3">
        <v>-2.7169250252645285</v>
      </c>
      <c r="D3">
        <v>-2.1494640369349209</v>
      </c>
      <c r="E3">
        <v>-3.0822844834405068</v>
      </c>
      <c r="F3">
        <v>-3.6842395093342653</v>
      </c>
      <c r="G3">
        <v>-2.4803951150695958</v>
      </c>
      <c r="H3" s="1">
        <v>0</v>
      </c>
      <c r="I3" s="1">
        <v>0</v>
      </c>
      <c r="J3" s="1">
        <v>0</v>
      </c>
      <c r="K3">
        <f>(D3-C3)/2*1.96</f>
        <v>0.55611176856301536</v>
      </c>
      <c r="L3">
        <f>(G3-F3)/2*1.96</f>
        <v>1.179767506379376</v>
      </c>
      <c r="M3">
        <f>(J3-I3)/2*1.96</f>
        <v>0</v>
      </c>
      <c r="N3">
        <f>SQRT(K3^2+K2^2)</f>
        <v>0.57563018287471357</v>
      </c>
      <c r="O3">
        <f>SQRT(L3^2+L2^2)</f>
        <v>1.2197676427122941</v>
      </c>
      <c r="P3">
        <f>SQRT(M3^2+M2^2)</f>
        <v>0</v>
      </c>
      <c r="Q3" s="4" t="e">
        <f>LN(B3)-LN(B2)</f>
        <v>#NUM!</v>
      </c>
      <c r="R3" s="4" t="e">
        <f>LN(E3)-LN(E2)</f>
        <v>#NUM!</v>
      </c>
      <c r="S3" s="4" t="s">
        <v>33</v>
      </c>
      <c r="T3" s="4">
        <f>1/(N3^2)</f>
        <v>3.0179558646801223</v>
      </c>
      <c r="U3" s="4">
        <f>1/(O3^2)</f>
        <v>0.67211839722884592</v>
      </c>
      <c r="V3" s="4" t="s">
        <v>33</v>
      </c>
    </row>
    <row r="4" spans="1:22" x14ac:dyDescent="0.25">
      <c r="A4" t="s">
        <v>3</v>
      </c>
      <c r="B4">
        <v>-2.580804519092895</v>
      </c>
      <c r="C4">
        <v>-2.7036639453979534</v>
      </c>
      <c r="D4">
        <v>-2.45793431924172</v>
      </c>
      <c r="E4">
        <v>-2.9522190752588036</v>
      </c>
      <c r="F4">
        <v>-3.1528593825865938</v>
      </c>
      <c r="G4">
        <v>-2.7515853026512778</v>
      </c>
      <c r="H4" s="1">
        <v>0</v>
      </c>
      <c r="I4" s="1">
        <v>0</v>
      </c>
      <c r="J4" s="1">
        <v>0</v>
      </c>
      <c r="K4">
        <f t="shared" ref="K4:K8" si="0">(D4-C4)/2*1.96</f>
        <v>0.24081503363310872</v>
      </c>
      <c r="L4">
        <f t="shared" ref="L4:L8" si="1">(G4-F4)/2*1.96</f>
        <v>0.39324859833660974</v>
      </c>
      <c r="M4">
        <f t="shared" ref="M4:M8" si="2">(J4-I4)/2*1.96</f>
        <v>0</v>
      </c>
      <c r="N4">
        <f>SQRT(K4^2+K2^2)</f>
        <v>0.28298708225960889</v>
      </c>
      <c r="O4">
        <f>SQRT(L4^2+L2^2)</f>
        <v>0.50062580156540459</v>
      </c>
      <c r="P4">
        <f>SQRT(M4^2+M2^2)</f>
        <v>0</v>
      </c>
      <c r="Q4" s="4" t="e">
        <f>LN(B4)-LN(B2)</f>
        <v>#NUM!</v>
      </c>
      <c r="R4" s="4" t="e">
        <f>LN(E4)-LN(E2)</f>
        <v>#NUM!</v>
      </c>
      <c r="S4" s="4" t="s">
        <v>33</v>
      </c>
      <c r="T4" s="4">
        <f t="shared" ref="T4:U8" si="3">1/(N4^2)</f>
        <v>12.487249156594595</v>
      </c>
      <c r="U4" s="4">
        <f t="shared" si="3"/>
        <v>3.990005941756908</v>
      </c>
      <c r="V4" s="4" t="s">
        <v>33</v>
      </c>
    </row>
    <row r="5" spans="1:22" x14ac:dyDescent="0.25">
      <c r="A5" t="s">
        <v>4</v>
      </c>
      <c r="B5">
        <v>-2.2601983073765131</v>
      </c>
      <c r="C5">
        <v>-2.7516343283872788</v>
      </c>
      <c r="D5">
        <v>-1.7687598510549247</v>
      </c>
      <c r="E5">
        <v>-2.0560654768971385</v>
      </c>
      <c r="F5">
        <v>-2.5544424975686328</v>
      </c>
      <c r="G5">
        <v>-1.4142145171093452</v>
      </c>
      <c r="H5" s="1">
        <v>0</v>
      </c>
      <c r="I5" s="1">
        <v>0</v>
      </c>
      <c r="J5" s="1">
        <v>0</v>
      </c>
      <c r="K5">
        <f t="shared" si="0"/>
        <v>0.96321698778570697</v>
      </c>
      <c r="L5">
        <f t="shared" si="1"/>
        <v>1.1174234208501019</v>
      </c>
      <c r="M5">
        <f t="shared" si="2"/>
        <v>0</v>
      </c>
      <c r="N5">
        <f>SQRT(K5^2+K2^2)</f>
        <v>0.97461621875539406</v>
      </c>
      <c r="O5">
        <f>SQRT(L5^2+L2^2)</f>
        <v>1.1595761443577732</v>
      </c>
      <c r="P5">
        <f>SQRT(M5^2+M2^2)</f>
        <v>0</v>
      </c>
      <c r="Q5" s="4" t="e">
        <f>LN(B5)-LN(B2)</f>
        <v>#NUM!</v>
      </c>
      <c r="R5" s="4" t="e">
        <f>LN(E5)-LN(E2)</f>
        <v>#NUM!</v>
      </c>
      <c r="S5" s="4" t="s">
        <v>33</v>
      </c>
      <c r="T5" s="4">
        <f t="shared" si="3"/>
        <v>1.0527681353184337</v>
      </c>
      <c r="U5" s="4">
        <f t="shared" si="3"/>
        <v>0.74370629185564541</v>
      </c>
      <c r="V5" s="4" t="s">
        <v>33</v>
      </c>
    </row>
    <row r="6" spans="1:22" x14ac:dyDescent="0.25">
      <c r="A6" t="s">
        <v>5</v>
      </c>
      <c r="B6">
        <v>-2.3808022842070526</v>
      </c>
      <c r="C6">
        <v>-2.8064023897019053</v>
      </c>
      <c r="D6">
        <v>-1.9551977040820159</v>
      </c>
      <c r="E6">
        <v>-2.5677043075559869</v>
      </c>
      <c r="F6">
        <v>-3.0591350240332784</v>
      </c>
      <c r="G6">
        <v>-2.0762639216160705</v>
      </c>
      <c r="H6" s="1">
        <v>0</v>
      </c>
      <c r="I6" s="1">
        <v>0</v>
      </c>
      <c r="J6" s="1">
        <v>0</v>
      </c>
      <c r="K6">
        <f t="shared" si="0"/>
        <v>0.83418059190749161</v>
      </c>
      <c r="L6">
        <f t="shared" si="1"/>
        <v>0.96321368036886368</v>
      </c>
      <c r="M6">
        <f t="shared" si="2"/>
        <v>0</v>
      </c>
      <c r="N6">
        <f>SQRT(K6^2+K2^2)</f>
        <v>0.84731757223441584</v>
      </c>
      <c r="O6">
        <f>SQRT(L6^2+L2^2)</f>
        <v>1.011811408884594</v>
      </c>
      <c r="P6">
        <f>SQRT(M6^2+M2^2)</f>
        <v>0</v>
      </c>
      <c r="Q6" s="4" t="e">
        <f>LN(B6)-LN(B2)</f>
        <v>#NUM!</v>
      </c>
      <c r="R6" s="4" t="e">
        <f>LN(E6)-LN(E2)</f>
        <v>#NUM!</v>
      </c>
      <c r="S6" s="4" t="s">
        <v>33</v>
      </c>
      <c r="T6" s="4">
        <f t="shared" si="3"/>
        <v>1.3928603434277644</v>
      </c>
      <c r="U6" s="4">
        <f t="shared" si="3"/>
        <v>0.97678921511480077</v>
      </c>
      <c r="V6" s="4" t="s">
        <v>33</v>
      </c>
    </row>
    <row r="7" spans="1:22" x14ac:dyDescent="0.25">
      <c r="A7" t="s">
        <v>6</v>
      </c>
      <c r="B7">
        <v>-2.4322327877070227</v>
      </c>
      <c r="C7">
        <v>-2.8578296137239043</v>
      </c>
      <c r="D7">
        <v>-2.0066387303488642</v>
      </c>
      <c r="E7">
        <v>-3.1114835389250546</v>
      </c>
      <c r="F7">
        <v>-3.9625735020593762</v>
      </c>
      <c r="G7">
        <v>-2.2603011036492813</v>
      </c>
      <c r="H7" s="1">
        <v>0</v>
      </c>
      <c r="I7" s="1">
        <v>0</v>
      </c>
      <c r="J7" s="1">
        <v>0</v>
      </c>
      <c r="K7">
        <f t="shared" si="0"/>
        <v>0.83416706570753929</v>
      </c>
      <c r="L7">
        <f t="shared" si="1"/>
        <v>1.668226950441893</v>
      </c>
      <c r="M7">
        <f t="shared" si="2"/>
        <v>0</v>
      </c>
      <c r="N7">
        <f>SQRT(K7^2+K2^2)</f>
        <v>0.84730425575068224</v>
      </c>
      <c r="O7">
        <f>SQRT(L7^2+L2^2)</f>
        <v>1.6967506862470849</v>
      </c>
      <c r="P7">
        <f>SQRT(M7^2+M2^2)</f>
        <v>0</v>
      </c>
      <c r="Q7" s="4" t="e">
        <f>LN(B7)-LN(B2)</f>
        <v>#NUM!</v>
      </c>
      <c r="R7" s="4" t="e">
        <f>LN(E7)-LN(E2)</f>
        <v>#NUM!</v>
      </c>
      <c r="S7" s="4" t="s">
        <v>33</v>
      </c>
      <c r="T7" s="4">
        <f t="shared" si="3"/>
        <v>1.3929041249802199</v>
      </c>
      <c r="U7" s="4">
        <f t="shared" si="3"/>
        <v>0.34734730448554396</v>
      </c>
      <c r="V7" s="4" t="s">
        <v>33</v>
      </c>
    </row>
    <row r="8" spans="1:22" x14ac:dyDescent="0.25">
      <c r="A8" t="s">
        <v>7</v>
      </c>
      <c r="B8">
        <v>-2.0235720659429335</v>
      </c>
      <c r="C8">
        <v>-2.4491726115471613</v>
      </c>
      <c r="D8">
        <v>-1.5979725975913026</v>
      </c>
      <c r="E8">
        <v>-2.7462744047491019</v>
      </c>
      <c r="F8">
        <v>-3.5973947580800854</v>
      </c>
      <c r="G8">
        <v>-1.8950624394179612</v>
      </c>
      <c r="H8" s="1">
        <v>0</v>
      </c>
      <c r="I8" s="1">
        <v>0</v>
      </c>
      <c r="J8" s="1">
        <v>0</v>
      </c>
      <c r="K8">
        <f t="shared" si="0"/>
        <v>0.83417601367674143</v>
      </c>
      <c r="L8">
        <f t="shared" si="1"/>
        <v>1.6682856722888817</v>
      </c>
      <c r="M8">
        <f t="shared" si="2"/>
        <v>0</v>
      </c>
      <c r="N8">
        <f>SQRT(K8^2+K2^2)</f>
        <v>0.84731306498584713</v>
      </c>
      <c r="O8">
        <f>SQRT(L8^2+L2^2)</f>
        <v>1.696808420966746</v>
      </c>
      <c r="P8">
        <f>SQRT(M8^2+M2^2)</f>
        <v>0</v>
      </c>
      <c r="Q8" s="4" t="e">
        <f>LN(B8)-LN(B2)</f>
        <v>#NUM!</v>
      </c>
      <c r="R8" s="4" t="e">
        <f>LN(E8)-LN(E2)</f>
        <v>#NUM!</v>
      </c>
      <c r="S8" s="4" t="s">
        <v>33</v>
      </c>
      <c r="T8" s="4">
        <f t="shared" si="3"/>
        <v>1.392875161998955</v>
      </c>
      <c r="U8" s="4">
        <f t="shared" si="3"/>
        <v>0.34732366757070049</v>
      </c>
      <c r="V8" s="4" t="s">
        <v>33</v>
      </c>
    </row>
    <row r="12" spans="1:22" ht="15.75" thickBot="1" x14ac:dyDescent="0.3">
      <c r="A12" s="5"/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 spans="1:22" x14ac:dyDescent="0.25">
      <c r="A13" s="4" t="s">
        <v>1</v>
      </c>
      <c r="B13">
        <f t="shared" ref="B13:J19" si="4">B2</f>
        <v>-2.5491353076202339</v>
      </c>
      <c r="C13">
        <f t="shared" si="4"/>
        <v>-2.6249585583270738</v>
      </c>
      <c r="D13">
        <f t="shared" si="4"/>
        <v>-2.4732989612548746</v>
      </c>
      <c r="E13">
        <f t="shared" si="4"/>
        <v>-3.1166225102516609</v>
      </c>
      <c r="F13">
        <f t="shared" si="4"/>
        <v>-3.2746601840902629</v>
      </c>
      <c r="G13">
        <f t="shared" si="4"/>
        <v>-2.958528359386253</v>
      </c>
      <c r="H13">
        <f t="shared" si="4"/>
        <v>0</v>
      </c>
      <c r="I13">
        <f t="shared" si="4"/>
        <v>0</v>
      </c>
      <c r="J13">
        <f t="shared" si="4"/>
        <v>0</v>
      </c>
    </row>
    <row r="14" spans="1:22" x14ac:dyDescent="0.25">
      <c r="A14" s="4" t="s">
        <v>2</v>
      </c>
      <c r="B14">
        <f>B2+B23</f>
        <v>-2.538775307620234</v>
      </c>
      <c r="C14">
        <f>B14-1.96*(K3+K23)</f>
        <v>-5.0109620540037438</v>
      </c>
      <c r="D14">
        <f>B14+1.96*(K3+K23)</f>
        <v>-6.6588561236724075E-2</v>
      </c>
      <c r="E14">
        <f>E2+E23</f>
        <v>-2.708422510251661</v>
      </c>
      <c r="F14">
        <f>E14-1.96*(L3+L23)</f>
        <v>-10.145077062755238</v>
      </c>
      <c r="G14">
        <f>E14+1.96*(L3+L23)</f>
        <v>4.7282320422519151</v>
      </c>
      <c r="H14">
        <f t="shared" si="4"/>
        <v>0</v>
      </c>
      <c r="I14">
        <f t="shared" si="4"/>
        <v>0</v>
      </c>
      <c r="J14">
        <f t="shared" si="4"/>
        <v>0</v>
      </c>
    </row>
    <row r="15" spans="1:22" x14ac:dyDescent="0.25">
      <c r="A15" s="4" t="s">
        <v>3</v>
      </c>
      <c r="B15">
        <f>B2+B24</f>
        <v>-2.7864353076202337</v>
      </c>
      <c r="C15">
        <f t="shared" ref="C15:C19" si="5">B15-1.96*(K4+K24)</f>
        <v>-5.6427218135411259</v>
      </c>
      <c r="D15">
        <f t="shared" ref="D15:D19" si="6">B15+1.96*(K4+K24)</f>
        <v>6.985119830065889E-2</v>
      </c>
      <c r="E15">
        <f>E2+E24</f>
        <v>-2.6597225102516608</v>
      </c>
      <c r="F15">
        <f t="shared" ref="F15:F19" si="7">E15-1.96*(L4+L24)</f>
        <v>-11.118107602991415</v>
      </c>
      <c r="G15">
        <f t="shared" ref="G15:G19" si="8">E15+1.96*(L4+L24)</f>
        <v>5.7986625824880926</v>
      </c>
      <c r="H15">
        <f t="shared" si="4"/>
        <v>0</v>
      </c>
      <c r="I15">
        <f t="shared" si="4"/>
        <v>0</v>
      </c>
      <c r="J15">
        <f t="shared" si="4"/>
        <v>0</v>
      </c>
    </row>
    <row r="16" spans="1:22" x14ac:dyDescent="0.25">
      <c r="A16" s="4" t="s">
        <v>4</v>
      </c>
      <c r="B16">
        <f>B2+B25</f>
        <v>-2.7761353076202337</v>
      </c>
      <c r="C16">
        <f t="shared" si="5"/>
        <v>-7.2350314036802192</v>
      </c>
      <c r="D16">
        <f t="shared" si="6"/>
        <v>1.6827607884397513</v>
      </c>
      <c r="E16">
        <f>E2+E25</f>
        <v>-2.382222510251661</v>
      </c>
      <c r="F16">
        <f t="shared" si="7"/>
        <v>-12.266328895117859</v>
      </c>
      <c r="G16">
        <f t="shared" si="8"/>
        <v>7.5018838746145375</v>
      </c>
      <c r="H16">
        <f t="shared" si="4"/>
        <v>0</v>
      </c>
      <c r="I16">
        <f t="shared" si="4"/>
        <v>0</v>
      </c>
      <c r="J16">
        <f t="shared" si="4"/>
        <v>0</v>
      </c>
    </row>
    <row r="17" spans="1:13" x14ac:dyDescent="0.25">
      <c r="A17" s="4" t="s">
        <v>5</v>
      </c>
      <c r="B17">
        <f>B2+B26</f>
        <v>-2.567245307620234</v>
      </c>
      <c r="C17">
        <f>B17-1.96*(K6+K26)</f>
        <v>-6.0828945477589178</v>
      </c>
      <c r="D17">
        <f>B17+1.96*(K6+K26)</f>
        <v>0.9484039325184499</v>
      </c>
      <c r="E17">
        <f>E2+E26</f>
        <v>-3.287522510251661</v>
      </c>
      <c r="F17">
        <f t="shared" si="7"/>
        <v>-7.6789920437746328</v>
      </c>
      <c r="G17">
        <f t="shared" si="8"/>
        <v>1.1039470232713113</v>
      </c>
      <c r="H17">
        <f t="shared" si="4"/>
        <v>0</v>
      </c>
      <c r="I17">
        <f t="shared" si="4"/>
        <v>0</v>
      </c>
      <c r="J17">
        <f t="shared" si="4"/>
        <v>0</v>
      </c>
    </row>
    <row r="18" spans="1:13" x14ac:dyDescent="0.25">
      <c r="A18" s="4" t="s">
        <v>6</v>
      </c>
      <c r="B18">
        <f>B2+B27</f>
        <v>-2.556885307620234</v>
      </c>
      <c r="C18">
        <f>B18-1.96*(K7+K27)</f>
        <v>-6.5127553964070106</v>
      </c>
      <c r="D18">
        <f>B18+1.96*(K7+K27)</f>
        <v>1.3989847811665426</v>
      </c>
      <c r="E18">
        <f>E2+E27</f>
        <v>-3.1206635102516609</v>
      </c>
      <c r="F18">
        <f t="shared" si="7"/>
        <v>-16.326686733117771</v>
      </c>
      <c r="G18">
        <f t="shared" si="8"/>
        <v>10.085359712614448</v>
      </c>
      <c r="H18">
        <f t="shared" si="4"/>
        <v>0</v>
      </c>
      <c r="I18">
        <f t="shared" si="4"/>
        <v>0</v>
      </c>
      <c r="J18">
        <f t="shared" si="4"/>
        <v>0</v>
      </c>
    </row>
    <row r="19" spans="1:13" x14ac:dyDescent="0.25">
      <c r="A19" s="4" t="s">
        <v>7</v>
      </c>
      <c r="B19">
        <f>B2+B28</f>
        <v>-2.1681353076202337</v>
      </c>
      <c r="C19">
        <f t="shared" si="5"/>
        <v>-7.7889723744266464</v>
      </c>
      <c r="D19">
        <f t="shared" si="6"/>
        <v>3.4527017591861791</v>
      </c>
      <c r="E19">
        <f>E2+E28</f>
        <v>-3.3565225102516609</v>
      </c>
      <c r="F19">
        <f t="shared" si="7"/>
        <v>-13.545084027937868</v>
      </c>
      <c r="G19">
        <f t="shared" si="8"/>
        <v>6.8320390074345454</v>
      </c>
      <c r="H19">
        <f t="shared" si="4"/>
        <v>0</v>
      </c>
      <c r="I19">
        <f t="shared" si="4"/>
        <v>0</v>
      </c>
      <c r="J19">
        <f t="shared" si="4"/>
        <v>0</v>
      </c>
    </row>
    <row r="21" spans="1:13" x14ac:dyDescent="0.25">
      <c r="B21" t="s">
        <v>34</v>
      </c>
      <c r="C21" t="s">
        <v>9</v>
      </c>
      <c r="D21" t="s">
        <v>10</v>
      </c>
      <c r="E21" t="s">
        <v>35</v>
      </c>
      <c r="F21" t="s">
        <v>12</v>
      </c>
      <c r="G21" t="s">
        <v>13</v>
      </c>
      <c r="H21" t="s">
        <v>36</v>
      </c>
      <c r="I21" t="s">
        <v>15</v>
      </c>
      <c r="J21" t="s">
        <v>16</v>
      </c>
      <c r="K21" s="4" t="s">
        <v>21</v>
      </c>
      <c r="L21" s="4" t="s">
        <v>22</v>
      </c>
      <c r="M21" s="4" t="s">
        <v>23</v>
      </c>
    </row>
    <row r="22" spans="1:13" x14ac:dyDescent="0.25">
      <c r="A22" s="4" t="s">
        <v>1</v>
      </c>
    </row>
    <row r="23" spans="1:13" x14ac:dyDescent="0.25">
      <c r="A23" s="4" t="s">
        <v>2</v>
      </c>
      <c r="B23">
        <v>1.0359999999999999E-2</v>
      </c>
      <c r="C23">
        <v>-0.35089999999999999</v>
      </c>
      <c r="D23">
        <v>0.36870000000000003</v>
      </c>
      <c r="E23">
        <v>0.40820000000000001</v>
      </c>
      <c r="F23">
        <v>-0.69779999999999998</v>
      </c>
      <c r="G23">
        <v>1.97</v>
      </c>
      <c r="H23">
        <v>0.40949999999999998</v>
      </c>
      <c r="I23">
        <v>-2.0830000000000002</v>
      </c>
      <c r="J23">
        <v>3.54</v>
      </c>
      <c r="K23">
        <f>(D23-C23)/2*1.96</f>
        <v>0.70520800000000006</v>
      </c>
      <c r="L23">
        <f>(G23-F23)/2*1.96</f>
        <v>2.6144439999999998</v>
      </c>
      <c r="M23">
        <f>(J23-I23)/2*1.96</f>
        <v>5.5105399999999998</v>
      </c>
    </row>
    <row r="24" spans="1:13" x14ac:dyDescent="0.25">
      <c r="A24" s="4" t="s">
        <v>3</v>
      </c>
      <c r="B24">
        <v>-0.23730000000000001</v>
      </c>
      <c r="C24">
        <v>-0.88839999999999997</v>
      </c>
      <c r="D24">
        <v>0.35289999999999999</v>
      </c>
      <c r="E24">
        <v>0.45689999999999997</v>
      </c>
      <c r="F24">
        <v>-0.97030000000000005</v>
      </c>
      <c r="G24">
        <v>3.032</v>
      </c>
      <c r="H24">
        <v>-0.3453</v>
      </c>
      <c r="I24">
        <v>-2.6120000000000001</v>
      </c>
      <c r="J24">
        <v>2.6560000000000001</v>
      </c>
      <c r="K24">
        <f>(D24-C24)/2*1.96</f>
        <v>1.2164739999999998</v>
      </c>
      <c r="L24">
        <f t="shared" ref="L24:L28" si="9">(G24-F24)/2*1.96</f>
        <v>3.9222539999999997</v>
      </c>
      <c r="M24">
        <f t="shared" ref="M24:M28" si="10">(J24-I24)/2*1.96</f>
        <v>5.1626400000000006</v>
      </c>
    </row>
    <row r="25" spans="1:13" x14ac:dyDescent="0.25">
      <c r="A25" s="4" t="s">
        <v>4</v>
      </c>
      <c r="B25">
        <v>-0.22700000000000001</v>
      </c>
      <c r="C25">
        <v>-0.93679999999999997</v>
      </c>
      <c r="D25">
        <v>0.4017</v>
      </c>
      <c r="E25">
        <v>0.73440000000000005</v>
      </c>
      <c r="F25">
        <v>-0.61460000000000004</v>
      </c>
      <c r="G25">
        <v>3.391</v>
      </c>
      <c r="H25">
        <v>1.411</v>
      </c>
      <c r="I25">
        <v>-0.56079999999999997</v>
      </c>
      <c r="J25">
        <v>5.3780000000000001</v>
      </c>
      <c r="K25">
        <f>(D25-C25)/2*1.96</f>
        <v>1.3117300000000001</v>
      </c>
      <c r="L25">
        <f t="shared" si="9"/>
        <v>3.9254880000000001</v>
      </c>
      <c r="M25">
        <f t="shared" si="10"/>
        <v>5.8200240000000001</v>
      </c>
    </row>
    <row r="26" spans="1:13" x14ac:dyDescent="0.25">
      <c r="A26" s="4" t="s">
        <v>5</v>
      </c>
      <c r="B26">
        <v>-1.8110000000000001E-2</v>
      </c>
      <c r="C26">
        <v>-0.49130000000000001</v>
      </c>
      <c r="D26">
        <v>0.48780000000000001</v>
      </c>
      <c r="E26">
        <v>-0.1709</v>
      </c>
      <c r="F26">
        <v>-0.80230000000000001</v>
      </c>
      <c r="G26">
        <v>0.50109999999999999</v>
      </c>
      <c r="H26">
        <v>-1.038</v>
      </c>
      <c r="I26">
        <v>-1.8720000000000001</v>
      </c>
      <c r="J26">
        <v>-0.2006</v>
      </c>
      <c r="K26">
        <f t="shared" ref="K26:K28" si="11">(D26-C26)/2*1.96</f>
        <v>0.95951800000000009</v>
      </c>
      <c r="L26">
        <f t="shared" si="9"/>
        <v>1.2773319999999999</v>
      </c>
      <c r="M26">
        <f t="shared" si="10"/>
        <v>1.6379720000000002</v>
      </c>
    </row>
    <row r="27" spans="1:13" x14ac:dyDescent="0.25">
      <c r="A27" s="4" t="s">
        <v>6</v>
      </c>
      <c r="B27">
        <v>-7.7499999999999999E-3</v>
      </c>
      <c r="C27">
        <v>-0.59799999999999998</v>
      </c>
      <c r="D27">
        <v>0.61029999999999995</v>
      </c>
      <c r="E27">
        <v>-4.0410000000000003E-3</v>
      </c>
      <c r="F27">
        <v>-2.5529999999999999</v>
      </c>
      <c r="G27">
        <v>2.62</v>
      </c>
      <c r="H27">
        <v>-5.4710000000000002E-3</v>
      </c>
      <c r="I27">
        <v>-3.593</v>
      </c>
      <c r="J27">
        <v>3.6440000000000001</v>
      </c>
      <c r="K27">
        <f t="shared" si="11"/>
        <v>1.184134</v>
      </c>
      <c r="L27">
        <f t="shared" si="9"/>
        <v>5.0695399999999999</v>
      </c>
      <c r="M27">
        <f t="shared" si="10"/>
        <v>7.0922599999999996</v>
      </c>
    </row>
    <row r="28" spans="1:13" x14ac:dyDescent="0.25">
      <c r="A28" s="4" t="s">
        <v>7</v>
      </c>
      <c r="B28">
        <v>0.38100000000000001</v>
      </c>
      <c r="C28">
        <v>-0.53110000000000002</v>
      </c>
      <c r="D28">
        <v>1.544</v>
      </c>
      <c r="E28">
        <v>-0.2399</v>
      </c>
      <c r="F28">
        <v>-2.097</v>
      </c>
      <c r="G28">
        <v>1.5049999999999999</v>
      </c>
      <c r="H28">
        <v>-0.39760000000000001</v>
      </c>
      <c r="I28">
        <v>-3.0009999999999999</v>
      </c>
      <c r="J28">
        <v>2.4740000000000002</v>
      </c>
      <c r="K28">
        <f t="shared" si="11"/>
        <v>2.033598</v>
      </c>
      <c r="L28">
        <f t="shared" si="9"/>
        <v>3.52996</v>
      </c>
      <c r="M28">
        <f t="shared" si="10"/>
        <v>5.3654999999999999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19A0-8B98-4593-9636-7775172112A2}">
  <dimension ref="A1:J8"/>
  <sheetViews>
    <sheetView workbookViewId="0">
      <selection activeCell="M15" sqref="M15"/>
    </sheetView>
  </sheetViews>
  <sheetFormatPr defaultRowHeight="15" x14ac:dyDescent="0.25"/>
  <sheetData>
    <row r="1" spans="1:10" ht="15.75" thickBot="1" x14ac:dyDescent="0.3">
      <c r="A1" s="5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s="4" t="s">
        <v>1</v>
      </c>
      <c r="B2">
        <v>-2.5491353076202339</v>
      </c>
      <c r="C2">
        <v>-2.6249585583270738</v>
      </c>
      <c r="D2">
        <v>-2.4732989612548746</v>
      </c>
      <c r="E2">
        <v>-3.1166225102516609</v>
      </c>
      <c r="F2">
        <v>-3.2746601840902629</v>
      </c>
      <c r="G2">
        <v>-2.958528359386253</v>
      </c>
      <c r="H2">
        <v>0</v>
      </c>
      <c r="I2">
        <v>0</v>
      </c>
      <c r="J2">
        <v>0</v>
      </c>
    </row>
    <row r="3" spans="1:10" x14ac:dyDescent="0.25">
      <c r="A3" s="4" t="s">
        <v>2</v>
      </c>
      <c r="B3">
        <v>-2.538775307620234</v>
      </c>
      <c r="C3">
        <v>-5.0109620540037438</v>
      </c>
      <c r="D3">
        <v>-6.6588561236724075E-2</v>
      </c>
      <c r="E3">
        <v>-2.708422510251661</v>
      </c>
      <c r="F3">
        <v>-10.145077062755238</v>
      </c>
      <c r="G3">
        <v>4.7282320422519151</v>
      </c>
      <c r="H3">
        <v>0</v>
      </c>
      <c r="I3">
        <v>0</v>
      </c>
      <c r="J3">
        <v>0</v>
      </c>
    </row>
    <row r="4" spans="1:10" x14ac:dyDescent="0.25">
      <c r="A4" s="4" t="s">
        <v>3</v>
      </c>
      <c r="B4">
        <v>-2.7864353076202337</v>
      </c>
      <c r="C4">
        <v>-5.6427218135411259</v>
      </c>
      <c r="D4">
        <v>6.985119830065889E-2</v>
      </c>
      <c r="E4">
        <v>-2.6597225102516608</v>
      </c>
      <c r="F4">
        <v>-11.118107602991415</v>
      </c>
      <c r="G4">
        <v>5.7986625824880926</v>
      </c>
      <c r="H4">
        <v>0</v>
      </c>
      <c r="I4">
        <v>0</v>
      </c>
      <c r="J4">
        <v>0</v>
      </c>
    </row>
    <row r="5" spans="1:10" x14ac:dyDescent="0.25">
      <c r="A5" s="4" t="s">
        <v>4</v>
      </c>
      <c r="B5">
        <v>-2.7761353076202337</v>
      </c>
      <c r="C5">
        <v>-7.2350314036802192</v>
      </c>
      <c r="D5">
        <v>1.6827607884397513</v>
      </c>
      <c r="E5">
        <v>-2.382222510251661</v>
      </c>
      <c r="F5">
        <v>-12.266328895117859</v>
      </c>
      <c r="G5">
        <v>7.5018838746145375</v>
      </c>
      <c r="H5">
        <v>0</v>
      </c>
      <c r="I5">
        <v>0</v>
      </c>
      <c r="J5">
        <v>0</v>
      </c>
    </row>
    <row r="6" spans="1:10" x14ac:dyDescent="0.25">
      <c r="A6" s="4" t="s">
        <v>5</v>
      </c>
      <c r="B6">
        <v>-2.567245307620234</v>
      </c>
      <c r="C6">
        <v>-6.0828945477589178</v>
      </c>
      <c r="D6">
        <v>0.9484039325184499</v>
      </c>
      <c r="E6">
        <v>-3.287522510251661</v>
      </c>
      <c r="F6">
        <v>-7.6789920437746328</v>
      </c>
      <c r="G6">
        <v>1.1039470232713113</v>
      </c>
      <c r="H6">
        <v>0</v>
      </c>
      <c r="I6">
        <v>0</v>
      </c>
      <c r="J6">
        <v>0</v>
      </c>
    </row>
    <row r="7" spans="1:10" x14ac:dyDescent="0.25">
      <c r="A7" s="4" t="s">
        <v>6</v>
      </c>
      <c r="B7">
        <v>-2.556885307620234</v>
      </c>
      <c r="C7">
        <v>-6.5127553964070106</v>
      </c>
      <c r="D7">
        <v>1.3989847811665426</v>
      </c>
      <c r="E7">
        <v>-3.1206635102516609</v>
      </c>
      <c r="F7">
        <v>-16.326686733117771</v>
      </c>
      <c r="G7">
        <v>10.085359712614448</v>
      </c>
      <c r="H7">
        <v>0</v>
      </c>
      <c r="I7">
        <v>0</v>
      </c>
      <c r="J7">
        <v>0</v>
      </c>
    </row>
    <row r="8" spans="1:10" x14ac:dyDescent="0.25">
      <c r="A8" s="4" t="s">
        <v>7</v>
      </c>
      <c r="B8">
        <v>-2.1681353076202337</v>
      </c>
      <c r="C8">
        <v>-7.7889723744266464</v>
      </c>
      <c r="D8">
        <v>3.4527017591861791</v>
      </c>
      <c r="E8">
        <v>-3.3565225102516609</v>
      </c>
      <c r="F8">
        <v>-13.545084027937868</v>
      </c>
      <c r="G8">
        <v>6.8320390074345454</v>
      </c>
      <c r="H8">
        <v>0</v>
      </c>
      <c r="I8">
        <v>0</v>
      </c>
      <c r="J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 Xu</dc:creator>
  <cp:lastModifiedBy>Yixin Xu</cp:lastModifiedBy>
  <dcterms:created xsi:type="dcterms:W3CDTF">2021-07-12T21:58:17Z</dcterms:created>
  <dcterms:modified xsi:type="dcterms:W3CDTF">2026-04-24T18:46:22Z</dcterms:modified>
</cp:coreProperties>
</file>