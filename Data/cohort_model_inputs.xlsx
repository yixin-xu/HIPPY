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18392\OneDrive - University of Bristol\HIPPY\semi Markov data\"/>
    </mc:Choice>
  </mc:AlternateContent>
  <xr:revisionPtr revIDLastSave="0" documentId="13_ncr:1_{02E7ADE5-3468-468B-A63F-88B554ADAB39}" xr6:coauthVersionLast="47" xr6:coauthVersionMax="47" xr10:uidLastSave="{00000000-0000-0000-0000-000000000000}"/>
  <bookViews>
    <workbookView xWindow="-108" yWindow="-108" windowWidth="23256" windowHeight="12456" firstSheet="6" activeTab="7" xr2:uid="{1573D79B-3ADE-4B5F-B94B-0FB77546B166}"/>
  </bookViews>
  <sheets>
    <sheet name="revision_log_rate" sheetId="1" r:id="rId1"/>
    <sheet name="primary_mortality" sheetId="6" r:id="rId2"/>
    <sheet name="revision_mortality" sheetId="11" r:id="rId3"/>
    <sheet name="UK_lifetables" sheetId="2" r:id="rId4"/>
    <sheet name="primary_success_costs" sheetId="3" r:id="rId5"/>
    <sheet name="revision_success_costs" sheetId="8" r:id="rId6"/>
    <sheet name="rerevision_success_costs" sheetId="9" r:id="rId7"/>
    <sheet name="primary_unsuccess_costs" sheetId="12" r:id="rId8"/>
    <sheet name="revision_unsuccess_costs" sheetId="13" r:id="rId9"/>
    <sheet name="rerevision_unsuccess_costs" sheetId="14" r:id="rId10"/>
    <sheet name="utilities_revision" sheetId="5" r:id="rId11"/>
    <sheet name="utilities_primary" sheetId="10" r:id="rId12"/>
    <sheet name="utilities_unadjusted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5" l="1"/>
  <c r="P5" i="5"/>
  <c r="O5" i="5"/>
  <c r="Q4" i="5"/>
  <c r="P4" i="5"/>
  <c r="O4" i="5"/>
  <c r="Q3" i="5"/>
  <c r="P3" i="5"/>
  <c r="O3" i="5"/>
  <c r="Q2" i="5"/>
  <c r="P2" i="5"/>
  <c r="O2" i="5"/>
  <c r="Q3" i="7"/>
  <c r="Q4" i="7"/>
  <c r="Q5" i="7"/>
  <c r="Q6" i="7"/>
  <c r="Q7" i="7"/>
  <c r="Q8" i="7"/>
  <c r="Q9" i="7"/>
  <c r="Q10" i="7"/>
  <c r="Q11" i="7"/>
  <c r="Q2" i="7"/>
  <c r="P3" i="7"/>
  <c r="P4" i="7"/>
  <c r="P5" i="7"/>
  <c r="P6" i="7"/>
  <c r="P7" i="7"/>
  <c r="P8" i="7"/>
  <c r="P9" i="7"/>
  <c r="P10" i="7"/>
  <c r="P11" i="7"/>
  <c r="P2" i="7"/>
  <c r="O3" i="7"/>
  <c r="O4" i="7"/>
  <c r="O5" i="7"/>
  <c r="O6" i="7"/>
  <c r="O7" i="7"/>
  <c r="O8" i="7"/>
  <c r="O9" i="7"/>
  <c r="O10" i="7"/>
  <c r="O11" i="7"/>
  <c r="O2" i="7"/>
</calcChain>
</file>

<file path=xl/sharedStrings.xml><?xml version="1.0" encoding="utf-8"?>
<sst xmlns="http://schemas.openxmlformats.org/spreadsheetml/2006/main" count="212" uniqueCount="38">
  <si>
    <t>mean</t>
  </si>
  <si>
    <t>Number re-revised</t>
  </si>
  <si>
    <t>Age</t>
  </si>
  <si>
    <t>treatment</t>
  </si>
  <si>
    <t>pre primary</t>
  </si>
  <si>
    <t>ll</t>
  </si>
  <si>
    <t>UL</t>
  </si>
  <si>
    <t>6 months after</t>
  </si>
  <si>
    <t>pre revision</t>
  </si>
  <si>
    <t>disutilities</t>
  </si>
  <si>
    <t>LL</t>
  </si>
  <si>
    <t>early_revision</t>
  </si>
  <si>
    <t>middle_revision</t>
  </si>
  <si>
    <t>late_revision</t>
  </si>
  <si>
    <t>third_revision</t>
  </si>
  <si>
    <t>parameter</t>
  </si>
  <si>
    <t>SE_pre</t>
  </si>
  <si>
    <t>SE_un_6 months after</t>
  </si>
  <si>
    <t>gender</t>
  </si>
  <si>
    <t>age</t>
  </si>
  <si>
    <t>female</t>
  </si>
  <si>
    <t>male</t>
  </si>
  <si>
    <t>Cemented</t>
  </si>
  <si>
    <t>Uncemented</t>
  </si>
  <si>
    <t>Hybrid</t>
  </si>
  <si>
    <t>pre rerevision</t>
  </si>
  <si>
    <t>rerevision_disu</t>
  </si>
  <si>
    <t>deaths_n</t>
  </si>
  <si>
    <t>fup_(1000_PYs)</t>
  </si>
  <si>
    <t>rate/1000_PYs</t>
  </si>
  <si>
    <t>log_cons_1000_PYS</t>
  </si>
  <si>
    <t>log_cons_SE</t>
  </si>
  <si>
    <t>rate/1000PYs</t>
  </si>
  <si>
    <t>log_cons_b</t>
  </si>
  <si>
    <t>SD</t>
  </si>
  <si>
    <t>SE</t>
  </si>
  <si>
    <t>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</si>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</sst>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4" fontId="4" fillId="2" borderId="1" xfId="0" applyNumberFormat="1" applyFont="1" applyFill="1" applyBorder="1" applyAlignment="1">
      <alignment horizontal="center"/>
    </xf>
    <xf numFmtId="4" fontId="4" fillId="2" borderId="0" xfId="0" applyNumberFormat="1" applyFont="1" applyFill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3" xfId="0" applyFont="1" applyBorder="1" applyAlignment="1">
      <alignment horizontal="right"/>
    </xf>
    <xf numFmtId="3" fontId="4" fillId="0" borderId="4" xfId="0" applyNumberFormat="1" applyFont="1" applyBorder="1"/>
    <xf numFmtId="0" fontId="4" fillId="0" borderId="5" xfId="0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0" fontId="4" fillId="0" borderId="8" xfId="0" applyFont="1" applyBorder="1"/>
    <xf numFmtId="0" fontId="4" fillId="0" borderId="9" xfId="0" applyFont="1" applyBorder="1"/>
  </cellXfs>
  <cellStyles count="2">
    <cellStyle name="Normal" xfId="0" builtinId="0"/>
    <cellStyle name="Normal 2" xfId="1" xr:uid="{D396A0AB-0FEE-42C7-90B0-C2C3CB89B7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CCBE-CAD6-4BAD-B69A-BD9D084B9614}">
  <dimension ref="A1:E5"/>
  <sheetViews>
    <sheetView workbookViewId="0">
      <selection activeCell="L16" sqref="L16"/>
    </sheetView>
  </sheetViews>
  <sheetFormatPr defaultRowHeight="14.4" x14ac:dyDescent="0.3"/>
  <cols>
    <col min="1" max="1" width="23.77734375" customWidth="1"/>
    <col min="2" max="2" width="19.77734375" customWidth="1"/>
    <col min="3" max="4" width="18.44140625" customWidth="1"/>
    <col min="5" max="5" width="19.44140625" customWidth="1"/>
  </cols>
  <sheetData>
    <row r="1" spans="1:5" x14ac:dyDescent="0.3">
      <c r="A1" t="s">
        <v>15</v>
      </c>
      <c r="B1" t="s">
        <v>0</v>
      </c>
      <c r="C1" t="s">
        <v>10</v>
      </c>
      <c r="D1" t="s">
        <v>6</v>
      </c>
      <c r="E1" t="s">
        <v>1</v>
      </c>
    </row>
    <row r="2" spans="1:5" x14ac:dyDescent="0.3">
      <c r="A2" t="s">
        <v>11</v>
      </c>
      <c r="B2" s="4">
        <v>-6.1959999999999997</v>
      </c>
      <c r="C2" s="4">
        <v>-6.4649999999999999</v>
      </c>
      <c r="D2" s="4">
        <v>-5.9269999999999996</v>
      </c>
      <c r="E2" s="4">
        <v>53</v>
      </c>
    </row>
    <row r="3" spans="1:5" x14ac:dyDescent="0.3">
      <c r="A3" t="s">
        <v>12</v>
      </c>
      <c r="B3" s="4">
        <v>-6.476</v>
      </c>
      <c r="C3" s="4">
        <v>-6.8109999999999999</v>
      </c>
      <c r="D3" s="4">
        <v>-6.14</v>
      </c>
      <c r="E3" s="4">
        <v>34</v>
      </c>
    </row>
    <row r="4" spans="1:5" x14ac:dyDescent="0.3">
      <c r="A4" t="s">
        <v>13</v>
      </c>
      <c r="B4" s="4">
        <v>-9.8260000000000005</v>
      </c>
      <c r="C4" s="4">
        <v>-11.211</v>
      </c>
      <c r="D4" s="4">
        <v>-8.4410000000000007</v>
      </c>
      <c r="E4" s="4">
        <v>2</v>
      </c>
    </row>
    <row r="5" spans="1:5" x14ac:dyDescent="0.3">
      <c r="A5" t="s">
        <v>14</v>
      </c>
      <c r="B5">
        <v>-3.03</v>
      </c>
      <c r="C5">
        <v>-3.1190000000000002</v>
      </c>
      <c r="D5">
        <v>-2.9409999999999998</v>
      </c>
      <c r="E5">
        <v>484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389C-479E-4C79-AE5E-3B832072342D}">
  <dimension ref="A1:G8"/>
  <sheetViews>
    <sheetView workbookViewId="0">
      <selection activeCell="G11" sqref="G11"/>
    </sheetView>
  </sheetViews>
  <sheetFormatPr defaultRowHeight="14.4" x14ac:dyDescent="0.3"/>
  <cols>
    <col min="1" max="1" width="12.77734375" customWidth="1"/>
    <col min="3" max="3" width="11.77734375" customWidth="1"/>
    <col min="9" max="9" width="9.77734375" bestFit="1" customWidth="1"/>
    <col min="17" max="17" width="11.21875" bestFit="1" customWidth="1"/>
  </cols>
  <sheetData>
    <row r="1" spans="1:7" x14ac:dyDescent="0.3">
      <c r="A1" s="1" t="s">
        <v>19</v>
      </c>
      <c r="B1" t="s">
        <v>18</v>
      </c>
      <c r="C1" s="8" t="s">
        <v>27</v>
      </c>
      <c r="D1" s="8" t="s">
        <v>28</v>
      </c>
      <c r="E1" s="8" t="s">
        <v>29</v>
      </c>
      <c r="F1" s="9" t="s">
        <v>30</v>
      </c>
      <c r="G1" s="9" t="s">
        <v>31</v>
      </c>
    </row>
    <row r="2" spans="1:7" x14ac:dyDescent="0.3">
      <c r="A2">
        <v>60</v>
      </c>
      <c r="B2" t="s">
        <v>20</v>
      </c>
      <c r="C2" s="8">
        <v>199</v>
      </c>
      <c r="D2" s="8">
        <v>68</v>
      </c>
      <c r="E2" s="8">
        <v>3</v>
      </c>
      <c r="F2" s="8">
        <v>1.070255892</v>
      </c>
      <c r="G2" s="8">
        <v>7.0888117E-2</v>
      </c>
    </row>
    <row r="3" spans="1:7" x14ac:dyDescent="0.3">
      <c r="A3">
        <v>70</v>
      </c>
      <c r="B3" t="s">
        <v>20</v>
      </c>
      <c r="C3" s="8">
        <v>1162</v>
      </c>
      <c r="D3" s="8">
        <v>82</v>
      </c>
      <c r="E3" s="8">
        <v>14</v>
      </c>
      <c r="F3" s="8">
        <v>2.6493802739999999</v>
      </c>
      <c r="G3" s="8">
        <v>2.9335732E-2</v>
      </c>
    </row>
    <row r="4" spans="1:7" x14ac:dyDescent="0.3">
      <c r="A4">
        <v>60</v>
      </c>
      <c r="B4" t="s">
        <v>21</v>
      </c>
      <c r="C4" s="8">
        <v>252</v>
      </c>
      <c r="D4" s="8">
        <v>53</v>
      </c>
      <c r="E4" s="8">
        <v>5</v>
      </c>
      <c r="F4" s="8">
        <v>1.5647000150000001</v>
      </c>
      <c r="G4" s="8">
        <v>6.2994076999999996E-2</v>
      </c>
    </row>
    <row r="5" spans="1:7" x14ac:dyDescent="0.3">
      <c r="A5">
        <v>70</v>
      </c>
      <c r="B5" t="s">
        <v>21</v>
      </c>
      <c r="C5" s="8">
        <v>1118</v>
      </c>
      <c r="D5" s="8">
        <v>47</v>
      </c>
      <c r="E5" s="8">
        <v>24</v>
      </c>
      <c r="F5" s="8">
        <v>3.1768475139999999</v>
      </c>
      <c r="G5" s="8">
        <v>2.9907423999999998E-2</v>
      </c>
    </row>
    <row r="8" spans="1:7" ht="15.6" x14ac:dyDescent="0.3">
      <c r="B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45D1-D03B-43C6-94EE-635935DD634F}">
  <dimension ref="A1:F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19</v>
      </c>
      <c r="B1" s="8" t="s">
        <v>27</v>
      </c>
      <c r="C1" s="8" t="s">
        <v>28</v>
      </c>
      <c r="D1" s="8" t="s">
        <v>32</v>
      </c>
      <c r="E1" s="9" t="s">
        <v>33</v>
      </c>
      <c r="F1" s="9" t="s">
        <v>31</v>
      </c>
    </row>
    <row r="2" spans="1:6" x14ac:dyDescent="0.3">
      <c r="A2">
        <v>60</v>
      </c>
      <c r="B2" s="8">
        <v>73</v>
      </c>
      <c r="C2" s="8">
        <v>3</v>
      </c>
      <c r="D2" s="8">
        <v>28</v>
      </c>
      <c r="E2" s="8">
        <v>3.3462920789999999</v>
      </c>
      <c r="F2" s="8">
        <v>0.117041147</v>
      </c>
    </row>
    <row r="3" spans="1:6" x14ac:dyDescent="0.3">
      <c r="A3">
        <v>70</v>
      </c>
      <c r="B3" s="8">
        <v>259</v>
      </c>
      <c r="C3" s="8">
        <v>2</v>
      </c>
      <c r="D3" s="8">
        <v>119.16</v>
      </c>
      <c r="E3" s="8">
        <v>4.7804350050000002</v>
      </c>
      <c r="F3" s="8">
        <v>6.2136977000000003E-2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23D3-FC16-490A-9D4D-1626D6E990E2}">
  <dimension ref="A1:C160"/>
  <sheetViews>
    <sheetView topLeftCell="A70" workbookViewId="0">
      <selection activeCell="H75" sqref="H75"/>
    </sheetView>
  </sheetViews>
  <sheetFormatPr defaultColWidth="8.77734375" defaultRowHeight="14.4" x14ac:dyDescent="0.3"/>
  <sheetData>
    <row r="1" spans="1:3" x14ac:dyDescent="0.3">
      <c r="A1" t="s">
        <v>2</v>
      </c>
      <c r="B1" t="s">
        <v>21</v>
      </c>
      <c r="C1" t="s">
        <v>20</v>
      </c>
    </row>
    <row r="2" spans="1:3" x14ac:dyDescent="0.3">
      <c r="A2">
        <v>0</v>
      </c>
      <c r="B2">
        <v>4.267E-3</v>
      </c>
      <c r="C2">
        <v>3.5360000000000001E-3</v>
      </c>
    </row>
    <row r="3" spans="1:3" x14ac:dyDescent="0.3">
      <c r="A3">
        <v>1</v>
      </c>
      <c r="B3">
        <v>2.43E-4</v>
      </c>
      <c r="C3">
        <v>2.13E-4</v>
      </c>
    </row>
    <row r="4" spans="1:3" x14ac:dyDescent="0.3">
      <c r="A4">
        <v>2</v>
      </c>
      <c r="B4">
        <v>1.3200000000000001E-4</v>
      </c>
      <c r="C4">
        <v>1.27E-4</v>
      </c>
    </row>
    <row r="5" spans="1:3" x14ac:dyDescent="0.3">
      <c r="A5">
        <v>3</v>
      </c>
      <c r="B5">
        <v>1.01E-4</v>
      </c>
      <c r="C5">
        <v>9.7999999999999997E-5</v>
      </c>
    </row>
    <row r="6" spans="1:3" x14ac:dyDescent="0.3">
      <c r="A6">
        <v>4</v>
      </c>
      <c r="B6">
        <v>9.7E-5</v>
      </c>
      <c r="C6">
        <v>6.7999999999999999E-5</v>
      </c>
    </row>
    <row r="7" spans="1:3" x14ac:dyDescent="0.3">
      <c r="A7">
        <v>5</v>
      </c>
      <c r="B7">
        <v>8.5000000000000006E-5</v>
      </c>
      <c r="C7">
        <v>8.6000000000000003E-5</v>
      </c>
    </row>
    <row r="8" spans="1:3" x14ac:dyDescent="0.3">
      <c r="A8">
        <v>6</v>
      </c>
      <c r="B8">
        <v>8.7999999999999998E-5</v>
      </c>
      <c r="C8">
        <v>8.2000000000000001E-5</v>
      </c>
    </row>
    <row r="9" spans="1:3" x14ac:dyDescent="0.3">
      <c r="A9">
        <v>7</v>
      </c>
      <c r="B9">
        <v>6.8999999999999997E-5</v>
      </c>
      <c r="C9">
        <v>6.2000000000000003E-5</v>
      </c>
    </row>
    <row r="10" spans="1:3" x14ac:dyDescent="0.3">
      <c r="A10">
        <v>8</v>
      </c>
      <c r="B10">
        <v>6.7000000000000002E-5</v>
      </c>
      <c r="C10">
        <v>6.3999999999999997E-5</v>
      </c>
    </row>
    <row r="11" spans="1:3" x14ac:dyDescent="0.3">
      <c r="A11">
        <v>9</v>
      </c>
      <c r="B11">
        <v>5.8999999999999998E-5</v>
      </c>
      <c r="C11">
        <v>5.3000000000000001E-5</v>
      </c>
    </row>
    <row r="12" spans="1:3" x14ac:dyDescent="0.3">
      <c r="A12">
        <v>10</v>
      </c>
      <c r="B12">
        <v>7.3999999999999996E-5</v>
      </c>
      <c r="C12">
        <v>6.3999999999999997E-5</v>
      </c>
    </row>
    <row r="13" spans="1:3" x14ac:dyDescent="0.3">
      <c r="A13">
        <v>11</v>
      </c>
      <c r="B13">
        <v>8.5000000000000006E-5</v>
      </c>
      <c r="C13">
        <v>6.6000000000000005E-5</v>
      </c>
    </row>
    <row r="14" spans="1:3" x14ac:dyDescent="0.3">
      <c r="A14">
        <v>12</v>
      </c>
      <c r="B14">
        <v>1.05E-4</v>
      </c>
      <c r="C14">
        <v>6.0000000000000002E-5</v>
      </c>
    </row>
    <row r="15" spans="1:3" x14ac:dyDescent="0.3">
      <c r="A15">
        <v>13</v>
      </c>
      <c r="B15">
        <v>1.27E-4</v>
      </c>
      <c r="C15">
        <v>8.0000000000000007E-5</v>
      </c>
    </row>
    <row r="16" spans="1:3" x14ac:dyDescent="0.3">
      <c r="A16">
        <v>14</v>
      </c>
      <c r="B16">
        <v>1.21E-4</v>
      </c>
      <c r="C16">
        <v>1.01E-4</v>
      </c>
    </row>
    <row r="17" spans="1:3" x14ac:dyDescent="0.3">
      <c r="A17">
        <v>15</v>
      </c>
      <c r="B17">
        <v>1.74E-4</v>
      </c>
      <c r="C17">
        <v>1.12E-4</v>
      </c>
    </row>
    <row r="18" spans="1:3" x14ac:dyDescent="0.3">
      <c r="A18">
        <v>16</v>
      </c>
      <c r="B18">
        <v>2.2699999999999999E-4</v>
      </c>
      <c r="C18">
        <v>1.47E-4</v>
      </c>
    </row>
    <row r="19" spans="1:3" x14ac:dyDescent="0.3">
      <c r="A19">
        <v>17</v>
      </c>
      <c r="B19">
        <v>3.1599999999999998E-4</v>
      </c>
      <c r="C19">
        <v>1.5899999999999999E-4</v>
      </c>
    </row>
    <row r="20" spans="1:3" x14ac:dyDescent="0.3">
      <c r="A20">
        <v>18</v>
      </c>
      <c r="B20">
        <v>4.0000000000000002E-4</v>
      </c>
      <c r="C20">
        <v>2.2699999999999999E-4</v>
      </c>
    </row>
    <row r="21" spans="1:3" x14ac:dyDescent="0.3">
      <c r="A21">
        <v>19</v>
      </c>
      <c r="B21">
        <v>4.4799999999999999E-4</v>
      </c>
      <c r="C21">
        <v>2.0000000000000001E-4</v>
      </c>
    </row>
    <row r="22" spans="1:3" x14ac:dyDescent="0.3">
      <c r="A22">
        <v>20</v>
      </c>
      <c r="B22">
        <v>5.0799999999999999E-4</v>
      </c>
      <c r="C22">
        <v>1.9000000000000001E-4</v>
      </c>
    </row>
    <row r="23" spans="1:3" x14ac:dyDescent="0.3">
      <c r="A23">
        <v>21</v>
      </c>
      <c r="B23">
        <v>5.13E-4</v>
      </c>
      <c r="C23">
        <v>2.1100000000000001E-4</v>
      </c>
    </row>
    <row r="24" spans="1:3" x14ac:dyDescent="0.3">
      <c r="A24">
        <v>22</v>
      </c>
      <c r="B24">
        <v>5.04E-4</v>
      </c>
      <c r="C24">
        <v>2.2900000000000001E-4</v>
      </c>
    </row>
    <row r="25" spans="1:3" x14ac:dyDescent="0.3">
      <c r="A25">
        <v>23</v>
      </c>
      <c r="B25">
        <v>5.0500000000000002E-4</v>
      </c>
      <c r="C25">
        <v>2.22E-4</v>
      </c>
    </row>
    <row r="26" spans="1:3" x14ac:dyDescent="0.3">
      <c r="A26">
        <v>24</v>
      </c>
      <c r="B26">
        <v>5.5199999999999997E-4</v>
      </c>
      <c r="C26">
        <v>2.22E-4</v>
      </c>
    </row>
    <row r="27" spans="1:3" x14ac:dyDescent="0.3">
      <c r="A27">
        <v>25</v>
      </c>
      <c r="B27">
        <v>5.9800000000000001E-4</v>
      </c>
      <c r="C27">
        <v>2.5399999999999999E-4</v>
      </c>
    </row>
    <row r="28" spans="1:3" x14ac:dyDescent="0.3">
      <c r="A28">
        <v>26</v>
      </c>
      <c r="B28">
        <v>5.8100000000000003E-4</v>
      </c>
      <c r="C28">
        <v>2.6200000000000003E-4</v>
      </c>
    </row>
    <row r="29" spans="1:3" x14ac:dyDescent="0.3">
      <c r="A29">
        <v>27</v>
      </c>
      <c r="B29">
        <v>6.2100000000000002E-4</v>
      </c>
      <c r="C29">
        <v>2.92E-4</v>
      </c>
    </row>
    <row r="30" spans="1:3" x14ac:dyDescent="0.3">
      <c r="A30">
        <v>28</v>
      </c>
      <c r="B30">
        <v>6.9499999999999998E-4</v>
      </c>
      <c r="C30">
        <v>3.1399999999999999E-4</v>
      </c>
    </row>
    <row r="31" spans="1:3" x14ac:dyDescent="0.3">
      <c r="A31">
        <v>29</v>
      </c>
      <c r="B31">
        <v>7.3200000000000001E-4</v>
      </c>
      <c r="C31">
        <v>3.2000000000000003E-4</v>
      </c>
    </row>
    <row r="32" spans="1:3" x14ac:dyDescent="0.3">
      <c r="A32">
        <v>30</v>
      </c>
      <c r="B32">
        <v>7.7099999999999998E-4</v>
      </c>
      <c r="C32">
        <v>3.6999999999999999E-4</v>
      </c>
    </row>
    <row r="33" spans="1:3" x14ac:dyDescent="0.3">
      <c r="A33">
        <v>31</v>
      </c>
      <c r="B33">
        <v>8.3500000000000002E-4</v>
      </c>
      <c r="C33">
        <v>3.9399999999999998E-4</v>
      </c>
    </row>
    <row r="34" spans="1:3" x14ac:dyDescent="0.3">
      <c r="A34">
        <v>32</v>
      </c>
      <c r="B34">
        <v>8.3500000000000002E-4</v>
      </c>
      <c r="C34">
        <v>4.5300000000000001E-4</v>
      </c>
    </row>
    <row r="35" spans="1:3" x14ac:dyDescent="0.3">
      <c r="A35">
        <v>33</v>
      </c>
      <c r="B35">
        <v>9.2900000000000003E-4</v>
      </c>
      <c r="C35">
        <v>4.86E-4</v>
      </c>
    </row>
    <row r="36" spans="1:3" x14ac:dyDescent="0.3">
      <c r="A36">
        <v>34</v>
      </c>
      <c r="B36">
        <v>9.5699999999999995E-4</v>
      </c>
      <c r="C36">
        <v>5.5599999999999996E-4</v>
      </c>
    </row>
    <row r="37" spans="1:3" x14ac:dyDescent="0.3">
      <c r="A37">
        <v>35</v>
      </c>
      <c r="B37">
        <v>1.073E-3</v>
      </c>
      <c r="C37">
        <v>5.8200000000000005E-4</v>
      </c>
    </row>
    <row r="38" spans="1:3" x14ac:dyDescent="0.3">
      <c r="A38">
        <v>36</v>
      </c>
      <c r="B38">
        <v>1.1460000000000001E-3</v>
      </c>
      <c r="C38">
        <v>6.4499999999999996E-4</v>
      </c>
    </row>
    <row r="39" spans="1:3" x14ac:dyDescent="0.3">
      <c r="A39">
        <v>37</v>
      </c>
      <c r="B39">
        <v>1.3090000000000001E-3</v>
      </c>
      <c r="C39">
        <v>7.8399999999999997E-4</v>
      </c>
    </row>
    <row r="40" spans="1:3" x14ac:dyDescent="0.3">
      <c r="A40">
        <v>38</v>
      </c>
      <c r="B40">
        <v>1.261E-3</v>
      </c>
      <c r="C40">
        <v>7.3200000000000001E-4</v>
      </c>
    </row>
    <row r="41" spans="1:3" x14ac:dyDescent="0.3">
      <c r="A41">
        <v>39</v>
      </c>
      <c r="B41">
        <v>1.3990000000000001E-3</v>
      </c>
      <c r="C41">
        <v>8.52E-4</v>
      </c>
    </row>
    <row r="42" spans="1:3" x14ac:dyDescent="0.3">
      <c r="A42">
        <v>40</v>
      </c>
      <c r="B42">
        <v>1.529E-3</v>
      </c>
      <c r="C42">
        <v>9.0200000000000002E-4</v>
      </c>
    </row>
    <row r="43" spans="1:3" x14ac:dyDescent="0.3">
      <c r="A43">
        <v>41</v>
      </c>
      <c r="B43">
        <v>1.67E-3</v>
      </c>
      <c r="C43">
        <v>9.859999999999999E-4</v>
      </c>
    </row>
    <row r="44" spans="1:3" x14ac:dyDescent="0.3">
      <c r="A44">
        <v>42</v>
      </c>
      <c r="B44">
        <v>1.818E-3</v>
      </c>
      <c r="C44">
        <v>1.073E-3</v>
      </c>
    </row>
    <row r="45" spans="1:3" x14ac:dyDescent="0.3">
      <c r="A45">
        <v>43</v>
      </c>
      <c r="B45">
        <v>2.0019999999999999E-3</v>
      </c>
      <c r="C45">
        <v>1.1709999999999999E-3</v>
      </c>
    </row>
    <row r="46" spans="1:3" x14ac:dyDescent="0.3">
      <c r="A46">
        <v>44</v>
      </c>
      <c r="B46">
        <v>2.0929999999999998E-3</v>
      </c>
      <c r="C46">
        <v>1.3159999999999999E-3</v>
      </c>
    </row>
    <row r="47" spans="1:3" x14ac:dyDescent="0.3">
      <c r="A47">
        <v>45</v>
      </c>
      <c r="B47">
        <v>2.3470000000000001E-3</v>
      </c>
      <c r="C47">
        <v>1.4250000000000001E-3</v>
      </c>
    </row>
    <row r="48" spans="1:3" x14ac:dyDescent="0.3">
      <c r="A48">
        <v>46</v>
      </c>
      <c r="B48">
        <v>2.4880000000000002E-3</v>
      </c>
      <c r="C48">
        <v>1.5640000000000001E-3</v>
      </c>
    </row>
    <row r="49" spans="1:3" x14ac:dyDescent="0.3">
      <c r="A49">
        <v>47</v>
      </c>
      <c r="B49">
        <v>2.696E-3</v>
      </c>
      <c r="C49">
        <v>1.6949999999999999E-3</v>
      </c>
    </row>
    <row r="50" spans="1:3" x14ac:dyDescent="0.3">
      <c r="A50">
        <v>48</v>
      </c>
      <c r="B50">
        <v>2.8519999999999999E-3</v>
      </c>
      <c r="C50">
        <v>1.8400000000000001E-3</v>
      </c>
    </row>
    <row r="51" spans="1:3" x14ac:dyDescent="0.3">
      <c r="A51">
        <v>49</v>
      </c>
      <c r="B51">
        <v>3.189E-3</v>
      </c>
      <c r="C51">
        <v>1.9430000000000001E-3</v>
      </c>
    </row>
    <row r="52" spans="1:3" x14ac:dyDescent="0.3">
      <c r="A52">
        <v>50</v>
      </c>
      <c r="B52">
        <v>3.3790000000000001E-3</v>
      </c>
      <c r="C52">
        <v>2.1689999999999999E-3</v>
      </c>
    </row>
    <row r="53" spans="1:3" x14ac:dyDescent="0.3">
      <c r="A53">
        <v>51</v>
      </c>
      <c r="B53">
        <v>3.6059999999999998E-3</v>
      </c>
      <c r="C53">
        <v>2.3579999999999999E-3</v>
      </c>
    </row>
    <row r="54" spans="1:3" x14ac:dyDescent="0.3">
      <c r="A54">
        <v>52</v>
      </c>
      <c r="B54">
        <v>3.9069999999999999E-3</v>
      </c>
      <c r="C54">
        <v>2.5569999999999998E-3</v>
      </c>
    </row>
    <row r="55" spans="1:3" x14ac:dyDescent="0.3">
      <c r="A55">
        <v>53</v>
      </c>
      <c r="B55">
        <v>4.1250000000000002E-3</v>
      </c>
      <c r="C55">
        <v>2.6970000000000002E-3</v>
      </c>
    </row>
    <row r="56" spans="1:3" x14ac:dyDescent="0.3">
      <c r="A56">
        <v>54</v>
      </c>
      <c r="B56">
        <v>4.4780000000000002E-3</v>
      </c>
      <c r="C56">
        <v>2.9139999999999999E-3</v>
      </c>
    </row>
    <row r="57" spans="1:3" x14ac:dyDescent="0.3">
      <c r="A57">
        <v>55</v>
      </c>
      <c r="B57">
        <v>4.7600000000000003E-3</v>
      </c>
      <c r="C57">
        <v>3.1939999999999998E-3</v>
      </c>
    </row>
    <row r="58" spans="1:3" x14ac:dyDescent="0.3">
      <c r="A58">
        <v>56</v>
      </c>
      <c r="B58">
        <v>5.3889999999999997E-3</v>
      </c>
      <c r="C58">
        <v>3.542E-3</v>
      </c>
    </row>
    <row r="59" spans="1:3" x14ac:dyDescent="0.3">
      <c r="A59">
        <v>57</v>
      </c>
      <c r="B59">
        <v>5.8560000000000001E-3</v>
      </c>
      <c r="C59">
        <v>3.8159999999999999E-3</v>
      </c>
    </row>
    <row r="60" spans="1:3" x14ac:dyDescent="0.3">
      <c r="A60">
        <v>58</v>
      </c>
      <c r="B60">
        <v>6.3940000000000004E-3</v>
      </c>
      <c r="C60">
        <v>4.2300000000000003E-3</v>
      </c>
    </row>
    <row r="61" spans="1:3" x14ac:dyDescent="0.3">
      <c r="A61">
        <v>59</v>
      </c>
      <c r="B61">
        <v>6.9300000000000004E-3</v>
      </c>
      <c r="C61">
        <v>4.6160000000000003E-3</v>
      </c>
    </row>
    <row r="62" spans="1:3" x14ac:dyDescent="0.3">
      <c r="A62">
        <v>60</v>
      </c>
      <c r="B62">
        <v>7.5950000000000002E-3</v>
      </c>
      <c r="C62">
        <v>5.0540000000000003E-3</v>
      </c>
    </row>
    <row r="63" spans="1:3" x14ac:dyDescent="0.3">
      <c r="A63">
        <v>61</v>
      </c>
      <c r="B63">
        <v>8.3129999999999992E-3</v>
      </c>
      <c r="C63">
        <v>5.4920000000000004E-3</v>
      </c>
    </row>
    <row r="64" spans="1:3" x14ac:dyDescent="0.3">
      <c r="A64">
        <v>62</v>
      </c>
      <c r="B64">
        <v>9.2230000000000003E-3</v>
      </c>
      <c r="C64">
        <v>6.2639999999999996E-3</v>
      </c>
    </row>
    <row r="65" spans="1:3" x14ac:dyDescent="0.3">
      <c r="A65">
        <v>63</v>
      </c>
      <c r="B65">
        <v>1.0178E-2</v>
      </c>
      <c r="C65">
        <v>6.7140000000000003E-3</v>
      </c>
    </row>
    <row r="66" spans="1:3" x14ac:dyDescent="0.3">
      <c r="A66">
        <v>64</v>
      </c>
      <c r="B66">
        <v>1.0947E-2</v>
      </c>
      <c r="C66">
        <v>7.2639999999999996E-3</v>
      </c>
    </row>
    <row r="67" spans="1:3" x14ac:dyDescent="0.3">
      <c r="A67">
        <v>65</v>
      </c>
      <c r="B67">
        <v>1.2024999999999999E-2</v>
      </c>
      <c r="C67">
        <v>7.9880000000000003E-3</v>
      </c>
    </row>
    <row r="68" spans="1:3" x14ac:dyDescent="0.3">
      <c r="A68">
        <v>66</v>
      </c>
      <c r="B68">
        <v>1.333E-2</v>
      </c>
      <c r="C68">
        <v>8.5730000000000008E-3</v>
      </c>
    </row>
    <row r="69" spans="1:3" x14ac:dyDescent="0.3">
      <c r="A69">
        <v>67</v>
      </c>
      <c r="B69">
        <v>1.4437E-2</v>
      </c>
      <c r="C69">
        <v>9.3799999999999994E-3</v>
      </c>
    </row>
    <row r="70" spans="1:3" x14ac:dyDescent="0.3">
      <c r="A70">
        <v>68</v>
      </c>
      <c r="B70">
        <v>1.5740000000000001E-2</v>
      </c>
      <c r="C70">
        <v>1.0330000000000001E-2</v>
      </c>
    </row>
    <row r="71" spans="1:3" x14ac:dyDescent="0.3">
      <c r="A71">
        <v>69</v>
      </c>
      <c r="B71">
        <v>1.7288999999999999E-2</v>
      </c>
      <c r="C71">
        <v>1.1296E-2</v>
      </c>
    </row>
    <row r="72" spans="1:3" x14ac:dyDescent="0.3">
      <c r="A72">
        <v>70</v>
      </c>
      <c r="B72">
        <v>1.8286E-2</v>
      </c>
      <c r="C72">
        <v>1.2437E-2</v>
      </c>
    </row>
    <row r="73" spans="1:3" x14ac:dyDescent="0.3">
      <c r="A73">
        <v>71</v>
      </c>
      <c r="B73">
        <v>2.0275999999999999E-2</v>
      </c>
      <c r="C73">
        <v>1.3337E-2</v>
      </c>
    </row>
    <row r="74" spans="1:3" x14ac:dyDescent="0.3">
      <c r="A74">
        <v>72</v>
      </c>
      <c r="B74">
        <v>2.2325999999999999E-2</v>
      </c>
      <c r="C74">
        <v>1.5240999999999999E-2</v>
      </c>
    </row>
    <row r="75" spans="1:3" x14ac:dyDescent="0.3">
      <c r="A75">
        <v>73</v>
      </c>
      <c r="B75">
        <v>2.5499999999999998E-2</v>
      </c>
      <c r="C75">
        <v>1.7347000000000001E-2</v>
      </c>
    </row>
    <row r="76" spans="1:3" x14ac:dyDescent="0.3">
      <c r="A76">
        <v>74</v>
      </c>
      <c r="B76">
        <v>2.8122999999999999E-2</v>
      </c>
      <c r="C76">
        <v>1.9167E-2</v>
      </c>
    </row>
    <row r="77" spans="1:3" x14ac:dyDescent="0.3">
      <c r="A77">
        <v>75</v>
      </c>
      <c r="B77">
        <v>3.1401999999999999E-2</v>
      </c>
      <c r="C77">
        <v>2.1437000000000001E-2</v>
      </c>
    </row>
    <row r="78" spans="1:3" x14ac:dyDescent="0.3">
      <c r="A78">
        <v>76</v>
      </c>
      <c r="B78">
        <v>3.5115E-2</v>
      </c>
      <c r="C78">
        <v>2.4216999999999999E-2</v>
      </c>
    </row>
    <row r="79" spans="1:3" x14ac:dyDescent="0.3">
      <c r="A79">
        <v>77</v>
      </c>
      <c r="B79">
        <v>3.8837999999999998E-2</v>
      </c>
      <c r="C79">
        <v>2.7307999999999999E-2</v>
      </c>
    </row>
    <row r="80" spans="1:3" x14ac:dyDescent="0.3">
      <c r="A80">
        <v>78</v>
      </c>
      <c r="B80">
        <v>4.3520999999999997E-2</v>
      </c>
      <c r="C80">
        <v>3.0960999999999999E-2</v>
      </c>
    </row>
    <row r="81" spans="1:3" x14ac:dyDescent="0.3">
      <c r="A81">
        <v>79</v>
      </c>
      <c r="B81">
        <v>4.8099000000000003E-2</v>
      </c>
      <c r="C81">
        <v>3.4480999999999998E-2</v>
      </c>
    </row>
    <row r="82" spans="1:3" x14ac:dyDescent="0.3">
      <c r="A82">
        <v>80</v>
      </c>
      <c r="B82">
        <v>5.3982000000000002E-2</v>
      </c>
      <c r="C82">
        <v>3.8462999999999997E-2</v>
      </c>
    </row>
    <row r="83" spans="1:3" x14ac:dyDescent="0.3">
      <c r="A83">
        <v>81</v>
      </c>
      <c r="B83">
        <v>6.0070999999999999E-2</v>
      </c>
      <c r="C83">
        <v>4.3633999999999999E-2</v>
      </c>
    </row>
    <row r="84" spans="1:3" x14ac:dyDescent="0.3">
      <c r="A84">
        <v>82</v>
      </c>
      <c r="B84">
        <v>6.6512000000000002E-2</v>
      </c>
      <c r="C84">
        <v>4.8958000000000002E-2</v>
      </c>
    </row>
    <row r="85" spans="1:3" x14ac:dyDescent="0.3">
      <c r="A85">
        <v>83</v>
      </c>
      <c r="B85">
        <v>7.5396000000000005E-2</v>
      </c>
      <c r="C85">
        <v>5.6269E-2</v>
      </c>
    </row>
    <row r="86" spans="1:3" x14ac:dyDescent="0.3">
      <c r="A86">
        <v>84</v>
      </c>
      <c r="B86">
        <v>8.4754999999999997E-2</v>
      </c>
      <c r="C86">
        <v>6.3935000000000006E-2</v>
      </c>
    </row>
    <row r="87" spans="1:3" x14ac:dyDescent="0.3">
      <c r="A87">
        <v>85</v>
      </c>
      <c r="B87">
        <v>9.4663999999999998E-2</v>
      </c>
      <c r="C87">
        <v>7.2461999999999999E-2</v>
      </c>
    </row>
    <row r="88" spans="1:3" x14ac:dyDescent="0.3">
      <c r="A88">
        <v>86</v>
      </c>
      <c r="B88">
        <v>0.106853</v>
      </c>
      <c r="C88">
        <v>8.3094000000000001E-2</v>
      </c>
    </row>
    <row r="89" spans="1:3" x14ac:dyDescent="0.3">
      <c r="A89">
        <v>87</v>
      </c>
      <c r="B89">
        <v>0.118585</v>
      </c>
      <c r="C89">
        <v>9.3462000000000003E-2</v>
      </c>
    </row>
    <row r="90" spans="1:3" x14ac:dyDescent="0.3">
      <c r="A90">
        <v>88</v>
      </c>
      <c r="B90">
        <v>0.13335900000000001</v>
      </c>
      <c r="C90">
        <v>0.106434</v>
      </c>
    </row>
    <row r="91" spans="1:3" x14ac:dyDescent="0.3">
      <c r="A91">
        <v>89</v>
      </c>
      <c r="B91">
        <v>0.14985100000000001</v>
      </c>
      <c r="C91">
        <v>0.11894200000000001</v>
      </c>
    </row>
    <row r="92" spans="1:3" x14ac:dyDescent="0.3">
      <c r="A92">
        <v>90</v>
      </c>
      <c r="B92">
        <v>0.15953000000000001</v>
      </c>
      <c r="C92">
        <v>0.13438700000000001</v>
      </c>
    </row>
    <row r="93" spans="1:3" x14ac:dyDescent="0.3">
      <c r="A93">
        <v>91</v>
      </c>
      <c r="B93">
        <v>0.17905499999999999</v>
      </c>
      <c r="C93">
        <v>0.150755</v>
      </c>
    </row>
    <row r="94" spans="1:3" x14ac:dyDescent="0.3">
      <c r="A94">
        <v>92</v>
      </c>
      <c r="B94">
        <v>0.19694999999999999</v>
      </c>
      <c r="C94">
        <v>0.16707900000000001</v>
      </c>
    </row>
    <row r="95" spans="1:3" x14ac:dyDescent="0.3">
      <c r="A95">
        <v>93</v>
      </c>
      <c r="B95">
        <v>0.21504400000000001</v>
      </c>
      <c r="C95">
        <v>0.18434400000000001</v>
      </c>
    </row>
    <row r="96" spans="1:3" x14ac:dyDescent="0.3">
      <c r="A96">
        <v>94</v>
      </c>
      <c r="B96">
        <v>0.23808599999999999</v>
      </c>
      <c r="C96">
        <v>0.20446700000000001</v>
      </c>
    </row>
    <row r="97" spans="1:3" x14ac:dyDescent="0.3">
      <c r="A97">
        <v>95</v>
      </c>
      <c r="B97">
        <v>0.26101200000000002</v>
      </c>
      <c r="C97">
        <v>0.22821</v>
      </c>
    </row>
    <row r="98" spans="1:3" x14ac:dyDescent="0.3">
      <c r="A98">
        <v>96</v>
      </c>
      <c r="B98">
        <v>0.28671400000000002</v>
      </c>
      <c r="C98">
        <v>0.25076500000000002</v>
      </c>
    </row>
    <row r="99" spans="1:3" x14ac:dyDescent="0.3">
      <c r="A99">
        <v>97</v>
      </c>
      <c r="B99">
        <v>0.30411300000000002</v>
      </c>
      <c r="C99">
        <v>0.26705800000000002</v>
      </c>
    </row>
    <row r="100" spans="1:3" x14ac:dyDescent="0.3">
      <c r="A100">
        <v>98</v>
      </c>
      <c r="B100">
        <v>0.32589200000000002</v>
      </c>
      <c r="C100">
        <v>0.29126000000000002</v>
      </c>
    </row>
    <row r="101" spans="1:3" x14ac:dyDescent="0.3">
      <c r="A101">
        <v>99</v>
      </c>
      <c r="B101">
        <v>0.36953999999999998</v>
      </c>
      <c r="C101">
        <v>0.30952600000000002</v>
      </c>
    </row>
    <row r="102" spans="1:3" x14ac:dyDescent="0.3">
      <c r="A102">
        <v>100</v>
      </c>
      <c r="B102">
        <v>0.38438600000000001</v>
      </c>
      <c r="C102">
        <v>0.34336299999999997</v>
      </c>
    </row>
    <row r="103" spans="1:3" x14ac:dyDescent="0.3">
      <c r="A103">
        <v>100</v>
      </c>
      <c r="B103">
        <v>0.38438600000000001</v>
      </c>
      <c r="C103">
        <v>0.34336299999999997</v>
      </c>
    </row>
    <row r="104" spans="1:3" x14ac:dyDescent="0.3">
      <c r="A104">
        <v>100</v>
      </c>
      <c r="B104">
        <v>0.38438600000000001</v>
      </c>
      <c r="C104">
        <v>0.34336299999999997</v>
      </c>
    </row>
    <row r="105" spans="1:3" x14ac:dyDescent="0.3">
      <c r="A105">
        <v>100</v>
      </c>
      <c r="B105">
        <v>0.38438600000000001</v>
      </c>
      <c r="C105">
        <v>0.34336299999999997</v>
      </c>
    </row>
    <row r="106" spans="1:3" x14ac:dyDescent="0.3">
      <c r="A106">
        <v>100</v>
      </c>
      <c r="B106">
        <v>0.38438600000000001</v>
      </c>
      <c r="C106">
        <v>0.34336299999999997</v>
      </c>
    </row>
    <row r="107" spans="1:3" x14ac:dyDescent="0.3">
      <c r="A107">
        <v>100</v>
      </c>
      <c r="B107">
        <v>0.38438600000000001</v>
      </c>
      <c r="C107">
        <v>0.34336299999999997</v>
      </c>
    </row>
    <row r="108" spans="1:3" x14ac:dyDescent="0.3">
      <c r="A108">
        <v>100</v>
      </c>
      <c r="B108">
        <v>0.38438600000000001</v>
      </c>
      <c r="C108">
        <v>0.34336299999999997</v>
      </c>
    </row>
    <row r="109" spans="1:3" x14ac:dyDescent="0.3">
      <c r="A109">
        <v>100</v>
      </c>
      <c r="B109">
        <v>0.38438600000000001</v>
      </c>
      <c r="C109">
        <v>0.34336299999999997</v>
      </c>
    </row>
    <row r="110" spans="1:3" x14ac:dyDescent="0.3">
      <c r="A110">
        <v>100</v>
      </c>
      <c r="B110">
        <v>0.38438600000000001</v>
      </c>
      <c r="C110">
        <v>0.34336299999999997</v>
      </c>
    </row>
    <row r="111" spans="1:3" x14ac:dyDescent="0.3">
      <c r="A111">
        <v>100</v>
      </c>
      <c r="B111">
        <v>0.38438600000000001</v>
      </c>
      <c r="C111">
        <v>0.34336299999999997</v>
      </c>
    </row>
    <row r="112" spans="1:3" x14ac:dyDescent="0.3">
      <c r="A112">
        <v>100</v>
      </c>
      <c r="B112">
        <v>0.38438600000000001</v>
      </c>
      <c r="C112">
        <v>0.34336299999999997</v>
      </c>
    </row>
    <row r="113" spans="1:3" x14ac:dyDescent="0.3">
      <c r="A113">
        <v>100</v>
      </c>
      <c r="B113">
        <v>0.38438600000000001</v>
      </c>
      <c r="C113">
        <v>0.34336299999999997</v>
      </c>
    </row>
    <row r="114" spans="1:3" x14ac:dyDescent="0.3">
      <c r="A114">
        <v>100</v>
      </c>
      <c r="B114">
        <v>0.38438600000000001</v>
      </c>
      <c r="C114">
        <v>0.34336299999999997</v>
      </c>
    </row>
    <row r="115" spans="1:3" x14ac:dyDescent="0.3">
      <c r="A115">
        <v>100</v>
      </c>
      <c r="B115">
        <v>0.38438600000000001</v>
      </c>
      <c r="C115">
        <v>0.34336299999999997</v>
      </c>
    </row>
    <row r="116" spans="1:3" x14ac:dyDescent="0.3">
      <c r="A116">
        <v>100</v>
      </c>
      <c r="B116">
        <v>0.38438600000000001</v>
      </c>
      <c r="C116">
        <v>0.34336299999999997</v>
      </c>
    </row>
    <row r="117" spans="1:3" x14ac:dyDescent="0.3">
      <c r="A117">
        <v>100</v>
      </c>
      <c r="B117">
        <v>0.38438600000000001</v>
      </c>
      <c r="C117">
        <v>0.34336299999999997</v>
      </c>
    </row>
    <row r="118" spans="1:3" x14ac:dyDescent="0.3">
      <c r="A118">
        <v>100</v>
      </c>
      <c r="B118">
        <v>0.38438600000000001</v>
      </c>
      <c r="C118">
        <v>0.34336299999999997</v>
      </c>
    </row>
    <row r="119" spans="1:3" x14ac:dyDescent="0.3">
      <c r="A119">
        <v>100</v>
      </c>
      <c r="B119">
        <v>0.38438600000000001</v>
      </c>
      <c r="C119">
        <v>0.34336299999999997</v>
      </c>
    </row>
    <row r="120" spans="1:3" x14ac:dyDescent="0.3">
      <c r="A120">
        <v>100</v>
      </c>
      <c r="B120">
        <v>0.38438600000000001</v>
      </c>
      <c r="C120">
        <v>0.34336299999999997</v>
      </c>
    </row>
    <row r="121" spans="1:3" x14ac:dyDescent="0.3">
      <c r="A121">
        <v>100</v>
      </c>
      <c r="B121">
        <v>0.38438600000000001</v>
      </c>
      <c r="C121">
        <v>0.34336299999999997</v>
      </c>
    </row>
    <row r="122" spans="1:3" x14ac:dyDescent="0.3">
      <c r="A122">
        <v>100</v>
      </c>
      <c r="B122">
        <v>0.38438600000000001</v>
      </c>
      <c r="C122">
        <v>0.34336299999999997</v>
      </c>
    </row>
    <row r="123" spans="1:3" x14ac:dyDescent="0.3">
      <c r="A123">
        <v>100</v>
      </c>
      <c r="B123">
        <v>0.38438600000000001</v>
      </c>
      <c r="C123">
        <v>0.34336299999999997</v>
      </c>
    </row>
    <row r="124" spans="1:3" x14ac:dyDescent="0.3">
      <c r="A124">
        <v>100</v>
      </c>
      <c r="B124">
        <v>0.38438600000000001</v>
      </c>
      <c r="C124">
        <v>0.34336299999999997</v>
      </c>
    </row>
    <row r="125" spans="1:3" x14ac:dyDescent="0.3">
      <c r="A125">
        <v>100</v>
      </c>
      <c r="B125">
        <v>0.38438600000000001</v>
      </c>
      <c r="C125">
        <v>0.34336299999999997</v>
      </c>
    </row>
    <row r="126" spans="1:3" x14ac:dyDescent="0.3">
      <c r="A126">
        <v>100</v>
      </c>
      <c r="B126">
        <v>0.38438600000000001</v>
      </c>
      <c r="C126">
        <v>0.34336299999999997</v>
      </c>
    </row>
    <row r="127" spans="1:3" x14ac:dyDescent="0.3">
      <c r="A127">
        <v>100</v>
      </c>
      <c r="B127">
        <v>0.38438600000000001</v>
      </c>
      <c r="C127">
        <v>0.34336299999999997</v>
      </c>
    </row>
    <row r="128" spans="1:3" x14ac:dyDescent="0.3">
      <c r="A128">
        <v>100</v>
      </c>
      <c r="B128">
        <v>0.38438600000000001</v>
      </c>
      <c r="C128">
        <v>0.34336299999999997</v>
      </c>
    </row>
    <row r="129" spans="1:3" x14ac:dyDescent="0.3">
      <c r="A129">
        <v>100</v>
      </c>
      <c r="B129">
        <v>0.38438600000000001</v>
      </c>
      <c r="C129">
        <v>0.34336299999999997</v>
      </c>
    </row>
    <row r="130" spans="1:3" x14ac:dyDescent="0.3">
      <c r="A130">
        <v>100</v>
      </c>
      <c r="B130">
        <v>0.38438600000000001</v>
      </c>
      <c r="C130">
        <v>0.34336299999999997</v>
      </c>
    </row>
    <row r="131" spans="1:3" x14ac:dyDescent="0.3">
      <c r="A131">
        <v>100</v>
      </c>
      <c r="B131">
        <v>0.38438600000000001</v>
      </c>
      <c r="C131">
        <v>0.34336299999999997</v>
      </c>
    </row>
    <row r="132" spans="1:3" x14ac:dyDescent="0.3">
      <c r="A132">
        <v>100</v>
      </c>
      <c r="B132">
        <v>0.38438600000000001</v>
      </c>
      <c r="C132">
        <v>0.34336299999999997</v>
      </c>
    </row>
    <row r="133" spans="1:3" x14ac:dyDescent="0.3">
      <c r="A133">
        <v>100</v>
      </c>
      <c r="B133">
        <v>0.38438600000000001</v>
      </c>
      <c r="C133">
        <v>0.34336299999999997</v>
      </c>
    </row>
    <row r="134" spans="1:3" x14ac:dyDescent="0.3">
      <c r="A134">
        <v>100</v>
      </c>
      <c r="B134">
        <v>0.38438600000000001</v>
      </c>
      <c r="C134">
        <v>0.34336299999999997</v>
      </c>
    </row>
    <row r="135" spans="1:3" x14ac:dyDescent="0.3">
      <c r="A135">
        <v>100</v>
      </c>
      <c r="B135">
        <v>0.38438600000000001</v>
      </c>
      <c r="C135">
        <v>0.34336299999999997</v>
      </c>
    </row>
    <row r="136" spans="1:3" x14ac:dyDescent="0.3">
      <c r="A136">
        <v>100</v>
      </c>
      <c r="B136">
        <v>0.38438600000000001</v>
      </c>
      <c r="C136">
        <v>0.34336299999999997</v>
      </c>
    </row>
    <row r="137" spans="1:3" x14ac:dyDescent="0.3">
      <c r="A137">
        <v>100</v>
      </c>
      <c r="B137">
        <v>0.38438600000000001</v>
      </c>
      <c r="C137">
        <v>0.34336299999999997</v>
      </c>
    </row>
    <row r="138" spans="1:3" x14ac:dyDescent="0.3">
      <c r="A138">
        <v>100</v>
      </c>
      <c r="B138">
        <v>0.38438600000000001</v>
      </c>
      <c r="C138">
        <v>0.34336299999999997</v>
      </c>
    </row>
    <row r="139" spans="1:3" x14ac:dyDescent="0.3">
      <c r="A139">
        <v>100</v>
      </c>
      <c r="B139">
        <v>0.38438600000000001</v>
      </c>
      <c r="C139">
        <v>0.34336299999999997</v>
      </c>
    </row>
    <row r="140" spans="1:3" x14ac:dyDescent="0.3">
      <c r="A140">
        <v>100</v>
      </c>
      <c r="B140">
        <v>0.38438600000000001</v>
      </c>
      <c r="C140">
        <v>0.34336299999999997</v>
      </c>
    </row>
    <row r="141" spans="1:3" x14ac:dyDescent="0.3">
      <c r="A141">
        <v>100</v>
      </c>
      <c r="B141">
        <v>0.38438600000000001</v>
      </c>
      <c r="C141">
        <v>0.34336299999999997</v>
      </c>
    </row>
    <row r="142" spans="1:3" x14ac:dyDescent="0.3">
      <c r="A142">
        <v>100</v>
      </c>
      <c r="B142">
        <v>0.38438600000000001</v>
      </c>
      <c r="C142">
        <v>0.34336299999999997</v>
      </c>
    </row>
    <row r="143" spans="1:3" x14ac:dyDescent="0.3">
      <c r="A143">
        <v>100</v>
      </c>
      <c r="B143">
        <v>0.38438600000000001</v>
      </c>
      <c r="C143">
        <v>0.34336299999999997</v>
      </c>
    </row>
    <row r="144" spans="1:3" x14ac:dyDescent="0.3">
      <c r="A144">
        <v>100</v>
      </c>
      <c r="B144">
        <v>0.38438600000000001</v>
      </c>
      <c r="C144">
        <v>0.34336299999999997</v>
      </c>
    </row>
    <row r="145" spans="1:3" x14ac:dyDescent="0.3">
      <c r="A145">
        <v>100</v>
      </c>
      <c r="B145">
        <v>0.38438600000000001</v>
      </c>
      <c r="C145">
        <v>0.34336299999999997</v>
      </c>
    </row>
    <row r="146" spans="1:3" x14ac:dyDescent="0.3">
      <c r="A146">
        <v>100</v>
      </c>
      <c r="B146">
        <v>0.38438600000000001</v>
      </c>
      <c r="C146">
        <v>0.34336299999999997</v>
      </c>
    </row>
    <row r="147" spans="1:3" x14ac:dyDescent="0.3">
      <c r="A147">
        <v>100</v>
      </c>
      <c r="B147">
        <v>0.38438600000000001</v>
      </c>
      <c r="C147">
        <v>0.34336299999999997</v>
      </c>
    </row>
    <row r="148" spans="1:3" x14ac:dyDescent="0.3">
      <c r="A148">
        <v>100</v>
      </c>
      <c r="B148">
        <v>0.38438600000000001</v>
      </c>
      <c r="C148">
        <v>0.34336299999999997</v>
      </c>
    </row>
    <row r="149" spans="1:3" x14ac:dyDescent="0.3">
      <c r="A149">
        <v>100</v>
      </c>
      <c r="B149">
        <v>0.38438600000000001</v>
      </c>
      <c r="C149">
        <v>0.34336299999999997</v>
      </c>
    </row>
    <row r="150" spans="1:3" x14ac:dyDescent="0.3">
      <c r="A150">
        <v>100</v>
      </c>
      <c r="B150">
        <v>0.38438600000000001</v>
      </c>
      <c r="C150">
        <v>0.34336299999999997</v>
      </c>
    </row>
    <row r="151" spans="1:3" x14ac:dyDescent="0.3">
      <c r="A151">
        <v>100</v>
      </c>
      <c r="B151">
        <v>0.38438600000000001</v>
      </c>
      <c r="C151">
        <v>0.34336299999999997</v>
      </c>
    </row>
    <row r="152" spans="1:3" x14ac:dyDescent="0.3">
      <c r="A152">
        <v>100</v>
      </c>
      <c r="B152">
        <v>0.38438600000000001</v>
      </c>
      <c r="C152">
        <v>0.34336299999999997</v>
      </c>
    </row>
    <row r="153" spans="1:3" x14ac:dyDescent="0.3">
      <c r="A153">
        <v>100</v>
      </c>
      <c r="B153">
        <v>0.38438600000000001</v>
      </c>
      <c r="C153">
        <v>0.34336299999999997</v>
      </c>
    </row>
    <row r="154" spans="1:3" x14ac:dyDescent="0.3">
      <c r="A154">
        <v>100</v>
      </c>
      <c r="B154">
        <v>0.38438600000000001</v>
      </c>
      <c r="C154">
        <v>0.34336299999999997</v>
      </c>
    </row>
    <row r="155" spans="1:3" x14ac:dyDescent="0.3">
      <c r="A155">
        <v>100</v>
      </c>
      <c r="B155">
        <v>0.38438600000000001</v>
      </c>
      <c r="C155">
        <v>0.34336299999999997</v>
      </c>
    </row>
    <row r="156" spans="1:3" x14ac:dyDescent="0.3">
      <c r="A156">
        <v>100</v>
      </c>
      <c r="B156">
        <v>0.38438600000000001</v>
      </c>
      <c r="C156">
        <v>0.34336299999999997</v>
      </c>
    </row>
    <row r="157" spans="1:3" x14ac:dyDescent="0.3">
      <c r="A157">
        <v>100</v>
      </c>
      <c r="B157">
        <v>0.38438600000000001</v>
      </c>
      <c r="C157">
        <v>0.34336299999999997</v>
      </c>
    </row>
    <row r="158" spans="1:3" x14ac:dyDescent="0.3">
      <c r="A158">
        <v>100</v>
      </c>
      <c r="B158">
        <v>0.38438600000000001</v>
      </c>
      <c r="C158">
        <v>0.34336299999999997</v>
      </c>
    </row>
    <row r="159" spans="1:3" x14ac:dyDescent="0.3">
      <c r="A159">
        <v>100</v>
      </c>
      <c r="B159">
        <v>0.38438600000000001</v>
      </c>
      <c r="C159">
        <v>0.34336299999999997</v>
      </c>
    </row>
    <row r="160" spans="1:3" x14ac:dyDescent="0.3">
      <c r="A160">
        <v>100</v>
      </c>
      <c r="B160">
        <v>0.38438600000000001</v>
      </c>
      <c r="C160">
        <v>0.34336299999999997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E16D-D22B-426F-950D-BE873951428C}">
  <dimension ref="A1:H23"/>
  <sheetViews>
    <sheetView workbookViewId="0">
      <selection activeCell="B20" sqref="B20"/>
    </sheetView>
  </sheetViews>
  <sheetFormatPr defaultRowHeight="14.4" x14ac:dyDescent="0.3"/>
  <cols>
    <col min="1" max="1" width="20.77734375" customWidth="1"/>
    <col min="2" max="2" width="19" customWidth="1"/>
  </cols>
  <sheetData>
    <row r="1" spans="1:8" ht="15" customHeight="1" x14ac:dyDescent="0.3">
      <c r="A1" t="s">
        <v>3</v>
      </c>
      <c r="B1" t="s">
        <v>19</v>
      </c>
      <c r="C1" t="s">
        <v>18</v>
      </c>
      <c r="D1" s="10" t="s">
        <v>0</v>
      </c>
      <c r="E1" s="10" t="s">
        <v>34</v>
      </c>
      <c r="F1" s="10" t="s">
        <v>35</v>
      </c>
      <c r="G1" s="15" t="s">
        <v>36</v>
      </c>
      <c r="H1" s="16" t="s">
        <v>37</v>
      </c>
    </row>
    <row r="2" spans="1:8" x14ac:dyDescent="0.3">
      <c r="A2" t="s">
        <v>22</v>
      </c>
      <c r="B2">
        <v>60</v>
      </c>
      <c r="C2" t="s">
        <v>20</v>
      </c>
      <c r="D2" s="5">
        <v>1241.2</v>
      </c>
      <c r="E2" s="5">
        <v>4108.8</v>
      </c>
      <c r="F2" s="11">
        <v>19.899999999999999</v>
      </c>
      <c r="G2" s="17">
        <v>42598</v>
      </c>
      <c r="H2" s="18">
        <v>18.399999999999999</v>
      </c>
    </row>
    <row r="3" spans="1:8" x14ac:dyDescent="0.3">
      <c r="A3" t="s">
        <v>22</v>
      </c>
      <c r="B3">
        <v>70</v>
      </c>
      <c r="C3" t="s">
        <v>20</v>
      </c>
      <c r="D3" s="6">
        <v>1744.7</v>
      </c>
      <c r="E3" s="6">
        <v>4571.2</v>
      </c>
      <c r="F3" s="12">
        <v>13.8</v>
      </c>
      <c r="G3" s="19">
        <v>110164</v>
      </c>
      <c r="H3" s="18">
        <v>47.7</v>
      </c>
    </row>
    <row r="4" spans="1:8" x14ac:dyDescent="0.3">
      <c r="A4" t="s">
        <v>22</v>
      </c>
      <c r="B4">
        <v>60</v>
      </c>
      <c r="C4" t="s">
        <v>21</v>
      </c>
      <c r="D4" s="6">
        <v>1437.2</v>
      </c>
      <c r="E4" s="6">
        <v>4566.7</v>
      </c>
      <c r="F4" s="12">
        <v>29</v>
      </c>
      <c r="G4" s="19">
        <v>24778</v>
      </c>
      <c r="H4" s="18">
        <v>10.7</v>
      </c>
    </row>
    <row r="5" spans="1:8" x14ac:dyDescent="0.3">
      <c r="A5" t="s">
        <v>22</v>
      </c>
      <c r="B5">
        <v>70</v>
      </c>
      <c r="C5" t="s">
        <v>21</v>
      </c>
      <c r="D5" s="7">
        <v>2251.1</v>
      </c>
      <c r="E5" s="7">
        <v>5857.7</v>
      </c>
      <c r="F5" s="13">
        <v>25.3</v>
      </c>
      <c r="G5" s="20">
        <v>53563</v>
      </c>
      <c r="H5" s="21">
        <v>23.2</v>
      </c>
    </row>
    <row r="6" spans="1:8" x14ac:dyDescent="0.3">
      <c r="A6" t="s">
        <v>23</v>
      </c>
      <c r="B6">
        <v>60</v>
      </c>
      <c r="C6" t="s">
        <v>20</v>
      </c>
      <c r="D6" s="5">
        <v>1036.9000000000001</v>
      </c>
      <c r="E6" s="5">
        <v>3594.3</v>
      </c>
      <c r="F6" s="11">
        <v>11.7</v>
      </c>
      <c r="G6" s="17">
        <v>94298</v>
      </c>
      <c r="H6" s="22">
        <v>34.799999999999997</v>
      </c>
    </row>
    <row r="7" spans="1:8" x14ac:dyDescent="0.3">
      <c r="A7" t="s">
        <v>23</v>
      </c>
      <c r="B7">
        <v>70</v>
      </c>
      <c r="C7" t="s">
        <v>20</v>
      </c>
      <c r="D7" s="6">
        <v>1580.6</v>
      </c>
      <c r="E7" s="6">
        <v>4448.3999999999996</v>
      </c>
      <c r="F7" s="12">
        <v>19.100000000000001</v>
      </c>
      <c r="G7" s="19">
        <v>54301</v>
      </c>
      <c r="H7" s="18">
        <v>20</v>
      </c>
    </row>
    <row r="8" spans="1:8" x14ac:dyDescent="0.3">
      <c r="A8" t="s">
        <v>23</v>
      </c>
      <c r="B8">
        <v>60</v>
      </c>
      <c r="C8" t="s">
        <v>21</v>
      </c>
      <c r="D8" s="6">
        <v>1100.0999999999999</v>
      </c>
      <c r="E8" s="6">
        <v>3823.7</v>
      </c>
      <c r="F8" s="12">
        <v>13.3</v>
      </c>
      <c r="G8" s="19">
        <v>82945</v>
      </c>
      <c r="H8" s="18">
        <v>30.6</v>
      </c>
    </row>
    <row r="9" spans="1:8" x14ac:dyDescent="0.3">
      <c r="A9" t="s">
        <v>23</v>
      </c>
      <c r="B9">
        <v>70</v>
      </c>
      <c r="C9" t="s">
        <v>21</v>
      </c>
      <c r="D9" s="7">
        <v>1984.4</v>
      </c>
      <c r="E9" s="7">
        <v>5249.7</v>
      </c>
      <c r="F9" s="13">
        <v>26.3</v>
      </c>
      <c r="G9" s="20">
        <v>39733</v>
      </c>
      <c r="H9" s="21">
        <v>14.7</v>
      </c>
    </row>
    <row r="10" spans="1:8" x14ac:dyDescent="0.3">
      <c r="A10" t="s">
        <v>24</v>
      </c>
      <c r="B10">
        <v>60</v>
      </c>
      <c r="C10" t="s">
        <v>20</v>
      </c>
      <c r="D10" s="5">
        <v>1106.8</v>
      </c>
      <c r="E10" s="5">
        <v>4005.4</v>
      </c>
      <c r="F10" s="11">
        <v>18.399999999999999</v>
      </c>
      <c r="G10" s="17">
        <v>47274</v>
      </c>
      <c r="H10" s="22">
        <v>26.9</v>
      </c>
    </row>
    <row r="11" spans="1:8" x14ac:dyDescent="0.3">
      <c r="A11" t="s">
        <v>24</v>
      </c>
      <c r="B11">
        <v>70</v>
      </c>
      <c r="C11" t="s">
        <v>20</v>
      </c>
      <c r="D11" s="6">
        <v>1648.4</v>
      </c>
      <c r="E11" s="6">
        <v>4639.5</v>
      </c>
      <c r="F11" s="12">
        <v>18.8</v>
      </c>
      <c r="G11" s="19">
        <v>61144</v>
      </c>
      <c r="H11" s="18">
        <v>34.799999999999997</v>
      </c>
    </row>
    <row r="12" spans="1:8" x14ac:dyDescent="0.3">
      <c r="A12" t="s">
        <v>24</v>
      </c>
      <c r="B12">
        <v>60</v>
      </c>
      <c r="C12" t="s">
        <v>21</v>
      </c>
      <c r="D12" s="6">
        <v>1138.4000000000001</v>
      </c>
      <c r="E12" s="6">
        <v>3970.1</v>
      </c>
      <c r="F12" s="12">
        <v>22</v>
      </c>
      <c r="G12" s="19">
        <v>32691</v>
      </c>
      <c r="H12" s="18">
        <v>18.600000000000001</v>
      </c>
    </row>
    <row r="13" spans="1:8" x14ac:dyDescent="0.3">
      <c r="A13" t="s">
        <v>24</v>
      </c>
      <c r="B13">
        <v>70</v>
      </c>
      <c r="C13" t="s">
        <v>21</v>
      </c>
      <c r="D13" s="7">
        <v>2068.3000000000002</v>
      </c>
      <c r="E13" s="7">
        <v>5806</v>
      </c>
      <c r="F13" s="13">
        <v>31.3</v>
      </c>
      <c r="G13" s="20">
        <v>34501</v>
      </c>
      <c r="H13" s="21">
        <v>19.7</v>
      </c>
    </row>
    <row r="15" spans="1:8" ht="22.5" customHeight="1" x14ac:dyDescent="0.3"/>
    <row r="23" ht="48" customHeight="1" x14ac:dyDescent="0.3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CEBE-67FE-4E2C-92B8-6CD6A77B0F7A}">
  <dimension ref="A1:E5"/>
  <sheetViews>
    <sheetView workbookViewId="0">
      <selection activeCell="B3" sqref="B3"/>
    </sheetView>
  </sheetViews>
  <sheetFormatPr defaultRowHeight="14.4" x14ac:dyDescent="0.3"/>
  <sheetData>
    <row r="1" spans="1:5" x14ac:dyDescent="0.3">
      <c r="A1" t="s">
        <v>18</v>
      </c>
      <c r="B1" t="s">
        <v>19</v>
      </c>
      <c r="C1" s="10" t="s">
        <v>0</v>
      </c>
      <c r="D1" s="10" t="s">
        <v>34</v>
      </c>
      <c r="E1" s="14" t="s">
        <v>35</v>
      </c>
    </row>
    <row r="2" spans="1:5" x14ac:dyDescent="0.3">
      <c r="A2" t="s">
        <v>20</v>
      </c>
      <c r="B2">
        <v>60</v>
      </c>
      <c r="C2" s="5">
        <v>17624.599999999999</v>
      </c>
      <c r="D2" s="5">
        <v>9702.9</v>
      </c>
      <c r="E2" s="12">
        <v>237.4</v>
      </c>
    </row>
    <row r="3" spans="1:5" x14ac:dyDescent="0.3">
      <c r="A3" t="s">
        <v>20</v>
      </c>
      <c r="B3">
        <v>70</v>
      </c>
      <c r="C3" s="6">
        <v>19760.400000000001</v>
      </c>
      <c r="D3" s="6">
        <v>10503.7</v>
      </c>
      <c r="E3" s="12">
        <v>216.7</v>
      </c>
    </row>
    <row r="4" spans="1:5" x14ac:dyDescent="0.3">
      <c r="A4" t="s">
        <v>21</v>
      </c>
      <c r="B4">
        <v>60</v>
      </c>
      <c r="C4" s="6">
        <v>18899.7</v>
      </c>
      <c r="D4" s="6">
        <v>10428.700000000001</v>
      </c>
      <c r="E4" s="12">
        <v>267.5</v>
      </c>
    </row>
    <row r="5" spans="1:5" x14ac:dyDescent="0.3">
      <c r="A5" t="s">
        <v>21</v>
      </c>
      <c r="B5">
        <v>70</v>
      </c>
      <c r="C5" s="7">
        <v>21843.9</v>
      </c>
      <c r="D5" s="7">
        <v>14081</v>
      </c>
      <c r="E5" s="13">
        <v>339.7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1FC1-1ABE-4A62-AB42-02B627753FCC}">
  <dimension ref="A1:E5"/>
  <sheetViews>
    <sheetView workbookViewId="0">
      <selection activeCell="F16" sqref="F16"/>
    </sheetView>
  </sheetViews>
  <sheetFormatPr defaultRowHeight="14.4" x14ac:dyDescent="0.3"/>
  <sheetData>
    <row r="1" spans="1:5" x14ac:dyDescent="0.3">
      <c r="A1" t="s">
        <v>18</v>
      </c>
      <c r="B1" t="s">
        <v>19</v>
      </c>
      <c r="C1" s="10" t="s">
        <v>0</v>
      </c>
      <c r="D1" s="10" t="s">
        <v>34</v>
      </c>
      <c r="E1" s="14" t="s">
        <v>35</v>
      </c>
    </row>
    <row r="2" spans="1:5" x14ac:dyDescent="0.3">
      <c r="A2" t="s">
        <v>20</v>
      </c>
      <c r="B2">
        <v>60</v>
      </c>
      <c r="C2" s="5">
        <v>22949.1</v>
      </c>
      <c r="D2" s="5">
        <v>16574.7</v>
      </c>
      <c r="E2" s="6">
        <v>1135.7</v>
      </c>
    </row>
    <row r="3" spans="1:5" x14ac:dyDescent="0.3">
      <c r="A3" t="s">
        <v>20</v>
      </c>
      <c r="B3">
        <v>70</v>
      </c>
      <c r="C3" s="6">
        <v>22796</v>
      </c>
      <c r="D3" s="6">
        <v>12367.5</v>
      </c>
      <c r="E3" s="12">
        <v>843.5</v>
      </c>
    </row>
    <row r="4" spans="1:5" x14ac:dyDescent="0.3">
      <c r="A4" t="s">
        <v>21</v>
      </c>
      <c r="B4">
        <v>60</v>
      </c>
      <c r="C4" s="6">
        <v>24597.3</v>
      </c>
      <c r="D4" s="6">
        <v>13735</v>
      </c>
      <c r="E4" s="12">
        <v>899.8</v>
      </c>
    </row>
    <row r="5" spans="1:5" x14ac:dyDescent="0.3">
      <c r="A5" t="s">
        <v>21</v>
      </c>
      <c r="B5">
        <v>70</v>
      </c>
      <c r="C5" s="7">
        <v>24988.6</v>
      </c>
      <c r="D5" s="7">
        <v>13003.1</v>
      </c>
      <c r="E5" s="13">
        <v>961.2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E33A-114E-4B37-9DE6-4108857DBC17}">
  <dimension ref="A1:H13"/>
  <sheetViews>
    <sheetView tabSelected="1" workbookViewId="0">
      <selection activeCell="E18" sqref="E18"/>
    </sheetView>
  </sheetViews>
  <sheetFormatPr defaultRowHeight="14.4" x14ac:dyDescent="0.3"/>
  <cols>
    <col min="1" max="1" width="14.21875" customWidth="1"/>
    <col min="3" max="3" width="10.6640625" customWidth="1"/>
  </cols>
  <sheetData>
    <row r="1" spans="1:8" x14ac:dyDescent="0.3">
      <c r="A1" t="s">
        <v>3</v>
      </c>
      <c r="B1" t="s">
        <v>19</v>
      </c>
      <c r="C1" t="s">
        <v>18</v>
      </c>
      <c r="D1" s="10" t="s">
        <v>0</v>
      </c>
      <c r="E1" s="10" t="s">
        <v>34</v>
      </c>
      <c r="F1" s="10" t="s">
        <v>35</v>
      </c>
      <c r="G1" s="15" t="s">
        <v>36</v>
      </c>
      <c r="H1" s="16" t="s">
        <v>37</v>
      </c>
    </row>
    <row r="2" spans="1:8" x14ac:dyDescent="0.3">
      <c r="A2" t="s">
        <v>22</v>
      </c>
      <c r="B2">
        <v>60</v>
      </c>
      <c r="C2" t="s">
        <v>20</v>
      </c>
      <c r="D2" s="5">
        <v>1255.8</v>
      </c>
      <c r="E2" s="5">
        <v>4140</v>
      </c>
      <c r="F2" s="11">
        <v>20</v>
      </c>
      <c r="G2" s="17">
        <v>42710</v>
      </c>
      <c r="H2" s="18">
        <v>18.399999999999999</v>
      </c>
    </row>
    <row r="3" spans="1:8" x14ac:dyDescent="0.3">
      <c r="A3" t="s">
        <v>22</v>
      </c>
      <c r="B3">
        <v>70</v>
      </c>
      <c r="C3" t="s">
        <v>20</v>
      </c>
      <c r="D3" s="6">
        <v>1756.3</v>
      </c>
      <c r="E3" s="6">
        <v>4601.7</v>
      </c>
      <c r="F3" s="12">
        <v>13.8</v>
      </c>
      <c r="G3" s="19">
        <v>110408</v>
      </c>
      <c r="H3" s="18">
        <v>47.6</v>
      </c>
    </row>
    <row r="4" spans="1:8" x14ac:dyDescent="0.3">
      <c r="A4" t="s">
        <v>22</v>
      </c>
      <c r="B4">
        <v>60</v>
      </c>
      <c r="C4" t="s">
        <v>21</v>
      </c>
      <c r="D4" s="6">
        <v>1450</v>
      </c>
      <c r="E4" s="6">
        <v>4597.3999999999996</v>
      </c>
      <c r="F4" s="12">
        <v>29.2</v>
      </c>
      <c r="G4" s="19">
        <v>24873</v>
      </c>
      <c r="H4" s="18">
        <v>10.7</v>
      </c>
    </row>
    <row r="5" spans="1:8" x14ac:dyDescent="0.3">
      <c r="A5" t="s">
        <v>22</v>
      </c>
      <c r="B5">
        <v>70</v>
      </c>
      <c r="C5" t="s">
        <v>21</v>
      </c>
      <c r="D5" s="7">
        <v>2265.8000000000002</v>
      </c>
      <c r="E5" s="7">
        <v>5879.8</v>
      </c>
      <c r="F5" s="13">
        <v>25.4</v>
      </c>
      <c r="G5" s="20">
        <v>53770</v>
      </c>
      <c r="H5" s="21">
        <v>23.2</v>
      </c>
    </row>
    <row r="6" spans="1:8" x14ac:dyDescent="0.3">
      <c r="A6" t="s">
        <v>23</v>
      </c>
      <c r="B6">
        <v>60</v>
      </c>
      <c r="C6" t="s">
        <v>20</v>
      </c>
      <c r="D6" s="5">
        <v>1048.8</v>
      </c>
      <c r="E6" s="5">
        <v>3620.8</v>
      </c>
      <c r="F6" s="11">
        <v>11.8</v>
      </c>
      <c r="G6" s="17">
        <v>94682</v>
      </c>
      <c r="H6" s="22">
        <v>34.799999999999997</v>
      </c>
    </row>
    <row r="7" spans="1:8" x14ac:dyDescent="0.3">
      <c r="A7" t="s">
        <v>23</v>
      </c>
      <c r="B7">
        <v>70</v>
      </c>
      <c r="C7" t="s">
        <v>20</v>
      </c>
      <c r="D7" s="6">
        <v>1591.6</v>
      </c>
      <c r="E7" s="6">
        <v>4465.2</v>
      </c>
      <c r="F7" s="12">
        <v>19.100000000000001</v>
      </c>
      <c r="G7" s="19">
        <v>54533</v>
      </c>
      <c r="H7" s="18">
        <v>20</v>
      </c>
    </row>
    <row r="8" spans="1:8" x14ac:dyDescent="0.3">
      <c r="A8" t="s">
        <v>23</v>
      </c>
      <c r="B8">
        <v>60</v>
      </c>
      <c r="C8" t="s">
        <v>21</v>
      </c>
      <c r="D8" s="6">
        <v>1116</v>
      </c>
      <c r="E8" s="6">
        <v>3885.2</v>
      </c>
      <c r="F8" s="12">
        <v>13.5</v>
      </c>
      <c r="G8" s="19">
        <v>83329</v>
      </c>
      <c r="H8" s="18">
        <v>30.6</v>
      </c>
    </row>
    <row r="9" spans="1:8" x14ac:dyDescent="0.3">
      <c r="A9" t="s">
        <v>23</v>
      </c>
      <c r="B9">
        <v>70</v>
      </c>
      <c r="C9" t="s">
        <v>21</v>
      </c>
      <c r="D9" s="7">
        <v>1991.5</v>
      </c>
      <c r="E9" s="7">
        <v>5256.2</v>
      </c>
      <c r="F9" s="13">
        <v>26.3</v>
      </c>
      <c r="G9" s="20">
        <v>39932</v>
      </c>
      <c r="H9" s="21">
        <v>18.600000000000001</v>
      </c>
    </row>
    <row r="10" spans="1:8" x14ac:dyDescent="0.3">
      <c r="A10" t="s">
        <v>24</v>
      </c>
      <c r="B10">
        <v>60</v>
      </c>
      <c r="C10" t="s">
        <v>20</v>
      </c>
      <c r="D10" s="5">
        <v>1119.7</v>
      </c>
      <c r="E10" s="5">
        <v>4035.9</v>
      </c>
      <c r="F10" s="11">
        <v>18.5</v>
      </c>
      <c r="G10" s="17">
        <v>47420</v>
      </c>
      <c r="H10" s="22">
        <v>26.9</v>
      </c>
    </row>
    <row r="11" spans="1:8" x14ac:dyDescent="0.3">
      <c r="A11" t="s">
        <v>24</v>
      </c>
      <c r="B11">
        <v>70</v>
      </c>
      <c r="C11" t="s">
        <v>20</v>
      </c>
      <c r="D11" s="6">
        <v>1656.1</v>
      </c>
      <c r="E11" s="6">
        <v>4652.6000000000004</v>
      </c>
      <c r="F11" s="12">
        <v>18.8</v>
      </c>
      <c r="G11" s="19">
        <v>32840</v>
      </c>
      <c r="H11" s="18">
        <v>33.299999999999997</v>
      </c>
    </row>
    <row r="12" spans="1:8" x14ac:dyDescent="0.3">
      <c r="A12" t="s">
        <v>24</v>
      </c>
      <c r="B12">
        <v>60</v>
      </c>
      <c r="C12" t="s">
        <v>21</v>
      </c>
      <c r="D12" s="6">
        <v>1147.3</v>
      </c>
      <c r="E12" s="6">
        <v>3992.9</v>
      </c>
      <c r="F12" s="12">
        <v>22</v>
      </c>
      <c r="G12" s="19">
        <v>61333</v>
      </c>
      <c r="H12" s="18">
        <v>20.7</v>
      </c>
    </row>
    <row r="13" spans="1:8" x14ac:dyDescent="0.3">
      <c r="A13" t="s">
        <v>24</v>
      </c>
      <c r="B13">
        <v>70</v>
      </c>
      <c r="C13" t="s">
        <v>21</v>
      </c>
      <c r="D13" s="7">
        <v>2078.1</v>
      </c>
      <c r="E13" s="7">
        <v>5820.9</v>
      </c>
      <c r="F13" s="13">
        <v>31.3</v>
      </c>
      <c r="G13" s="20">
        <v>34645</v>
      </c>
      <c r="H13" s="21">
        <v>18.899999999999999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3951-B6D3-47DD-9F40-9C99345A6ED5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t="s">
        <v>18</v>
      </c>
      <c r="B1" t="s">
        <v>19</v>
      </c>
      <c r="C1" s="10" t="s">
        <v>0</v>
      </c>
      <c r="D1" s="10" t="s">
        <v>34</v>
      </c>
      <c r="E1" s="14" t="s">
        <v>35</v>
      </c>
    </row>
    <row r="2" spans="1:5" x14ac:dyDescent="0.3">
      <c r="A2" t="s">
        <v>20</v>
      </c>
      <c r="B2">
        <v>60</v>
      </c>
      <c r="C2" s="5">
        <v>18146.099999999999</v>
      </c>
      <c r="D2" s="5">
        <v>10256.799999999999</v>
      </c>
      <c r="E2" s="12">
        <v>211.9</v>
      </c>
    </row>
    <row r="3" spans="1:5" x14ac:dyDescent="0.3">
      <c r="A3" t="s">
        <v>20</v>
      </c>
      <c r="B3">
        <v>70</v>
      </c>
      <c r="C3" s="6">
        <v>19933.7</v>
      </c>
      <c r="D3" s="6">
        <v>10581.1</v>
      </c>
      <c r="E3" s="12">
        <v>190.6</v>
      </c>
    </row>
    <row r="4" spans="1:5" x14ac:dyDescent="0.3">
      <c r="A4" t="s">
        <v>21</v>
      </c>
      <c r="B4">
        <v>60</v>
      </c>
      <c r="C4" s="6">
        <v>19656.3</v>
      </c>
      <c r="D4" s="6">
        <v>15580.4</v>
      </c>
      <c r="E4" s="12">
        <v>333.4</v>
      </c>
    </row>
    <row r="5" spans="1:5" x14ac:dyDescent="0.3">
      <c r="A5" t="s">
        <v>21</v>
      </c>
      <c r="B5">
        <v>70</v>
      </c>
      <c r="C5" s="7">
        <v>21974.2</v>
      </c>
      <c r="D5" s="7">
        <v>14421.3</v>
      </c>
      <c r="E5" s="13">
        <v>299.3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EF58-7786-4ADD-8A86-65AB7F8BA5B8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t="s">
        <v>18</v>
      </c>
      <c r="B1" t="s">
        <v>19</v>
      </c>
      <c r="C1" s="10" t="s">
        <v>0</v>
      </c>
      <c r="D1" s="10" t="s">
        <v>34</v>
      </c>
      <c r="E1" s="14" t="s">
        <v>35</v>
      </c>
    </row>
    <row r="2" spans="1:5" x14ac:dyDescent="0.3">
      <c r="A2" t="s">
        <v>20</v>
      </c>
      <c r="B2">
        <v>60</v>
      </c>
      <c r="C2" s="5">
        <v>22949.1</v>
      </c>
      <c r="D2" s="5">
        <v>16574.7</v>
      </c>
      <c r="E2" s="6">
        <v>1135.7</v>
      </c>
    </row>
    <row r="3" spans="1:5" x14ac:dyDescent="0.3">
      <c r="A3" t="s">
        <v>20</v>
      </c>
      <c r="B3">
        <v>70</v>
      </c>
      <c r="C3" s="6">
        <v>22796</v>
      </c>
      <c r="D3" s="6">
        <v>12367.5</v>
      </c>
      <c r="E3" s="12">
        <v>843.5</v>
      </c>
    </row>
    <row r="4" spans="1:5" x14ac:dyDescent="0.3">
      <c r="A4" t="s">
        <v>21</v>
      </c>
      <c r="B4">
        <v>60</v>
      </c>
      <c r="C4" s="6">
        <v>24597.3</v>
      </c>
      <c r="D4" s="6">
        <v>13735</v>
      </c>
      <c r="E4" s="12">
        <v>899.8</v>
      </c>
    </row>
    <row r="5" spans="1:5" x14ac:dyDescent="0.3">
      <c r="A5" t="s">
        <v>21</v>
      </c>
      <c r="B5">
        <v>70</v>
      </c>
      <c r="C5" s="7">
        <v>24988.6</v>
      </c>
      <c r="D5" s="7">
        <v>13003.1</v>
      </c>
      <c r="E5" s="13">
        <v>961.2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1EB2-0143-49DE-8BC7-3CC5C73B66A4}">
  <dimension ref="A1:Q8"/>
  <sheetViews>
    <sheetView workbookViewId="0">
      <selection activeCell="F13" sqref="F13"/>
    </sheetView>
  </sheetViews>
  <sheetFormatPr defaultRowHeight="14.4" x14ac:dyDescent="0.3"/>
  <cols>
    <col min="3" max="3" width="12" customWidth="1"/>
    <col min="9" max="9" width="10.77734375" customWidth="1"/>
    <col min="15" max="15" width="11.21875" customWidth="1"/>
  </cols>
  <sheetData>
    <row r="1" spans="1:17" x14ac:dyDescent="0.3">
      <c r="A1" t="s">
        <v>19</v>
      </c>
      <c r="B1" s="1" t="s">
        <v>18</v>
      </c>
      <c r="C1" t="s">
        <v>8</v>
      </c>
      <c r="D1" t="s">
        <v>5</v>
      </c>
      <c r="E1" t="s">
        <v>6</v>
      </c>
      <c r="F1" t="s">
        <v>7</v>
      </c>
      <c r="G1" t="s">
        <v>5</v>
      </c>
      <c r="H1" t="s">
        <v>6</v>
      </c>
      <c r="I1" t="s">
        <v>25</v>
      </c>
      <c r="J1" t="s">
        <v>5</v>
      </c>
      <c r="K1" t="s">
        <v>6</v>
      </c>
      <c r="L1" t="s">
        <v>7</v>
      </c>
      <c r="M1" t="s">
        <v>5</v>
      </c>
      <c r="N1" t="s">
        <v>6</v>
      </c>
      <c r="O1" t="s">
        <v>26</v>
      </c>
      <c r="P1" t="s">
        <v>5</v>
      </c>
      <c r="Q1" t="s">
        <v>6</v>
      </c>
    </row>
    <row r="2" spans="1:17" x14ac:dyDescent="0.3">
      <c r="A2" s="1">
        <v>60</v>
      </c>
      <c r="B2" s="3" t="s">
        <v>20</v>
      </c>
      <c r="C2">
        <v>0.31</v>
      </c>
      <c r="D2">
        <v>0.30199999999999999</v>
      </c>
      <c r="E2">
        <v>0.318</v>
      </c>
      <c r="F2">
        <v>0.60799999999999998</v>
      </c>
      <c r="G2">
        <v>0.60099999999999998</v>
      </c>
      <c r="H2">
        <v>0.61399999999999999</v>
      </c>
      <c r="I2">
        <v>0.218</v>
      </c>
      <c r="J2">
        <v>0.19500000000000001</v>
      </c>
      <c r="K2">
        <v>0.24099999999999999</v>
      </c>
      <c r="L2">
        <v>0.46600000000000003</v>
      </c>
      <c r="M2">
        <v>0.44700000000000001</v>
      </c>
      <c r="N2">
        <v>0.48499999999999999</v>
      </c>
      <c r="O2">
        <f t="shared" ref="O2:Q5" si="0">I2-F2</f>
        <v>-0.39</v>
      </c>
      <c r="P2">
        <f t="shared" si="0"/>
        <v>-0.40599999999999997</v>
      </c>
      <c r="Q2">
        <f t="shared" si="0"/>
        <v>-0.373</v>
      </c>
    </row>
    <row r="3" spans="1:17" x14ac:dyDescent="0.3">
      <c r="A3" s="1">
        <v>70</v>
      </c>
      <c r="B3" s="3" t="s">
        <v>20</v>
      </c>
      <c r="C3">
        <v>0.31</v>
      </c>
      <c r="D3">
        <v>0.30399999999999999</v>
      </c>
      <c r="E3">
        <v>0.317</v>
      </c>
      <c r="F3">
        <v>0.58699999999999997</v>
      </c>
      <c r="G3">
        <v>0.58199999999999996</v>
      </c>
      <c r="H3">
        <v>0.59299999999999997</v>
      </c>
      <c r="I3">
        <v>0.253</v>
      </c>
      <c r="J3">
        <v>0.22800000000000001</v>
      </c>
      <c r="K3">
        <v>0.27800000000000002</v>
      </c>
      <c r="L3">
        <v>0.48499999999999999</v>
      </c>
      <c r="M3">
        <v>0.46600000000000003</v>
      </c>
      <c r="N3">
        <v>0.504</v>
      </c>
      <c r="O3">
        <f t="shared" si="0"/>
        <v>-0.33399999999999996</v>
      </c>
      <c r="P3">
        <f t="shared" si="0"/>
        <v>-0.35399999999999998</v>
      </c>
      <c r="Q3">
        <f t="shared" si="0"/>
        <v>-0.31499999999999995</v>
      </c>
    </row>
    <row r="4" spans="1:17" x14ac:dyDescent="0.3">
      <c r="A4" s="1">
        <v>60</v>
      </c>
      <c r="B4" s="1" t="s">
        <v>21</v>
      </c>
      <c r="C4">
        <v>0.307</v>
      </c>
      <c r="D4">
        <v>0.29899999999999999</v>
      </c>
      <c r="E4">
        <v>0.316</v>
      </c>
      <c r="F4">
        <v>0.63300000000000001</v>
      </c>
      <c r="G4">
        <v>0.626</v>
      </c>
      <c r="H4">
        <v>0.64</v>
      </c>
      <c r="I4">
        <v>0.26300000000000001</v>
      </c>
      <c r="J4">
        <v>0.24</v>
      </c>
      <c r="K4">
        <v>0.28599999999999998</v>
      </c>
      <c r="L4">
        <v>0.53200000000000003</v>
      </c>
      <c r="M4">
        <v>0.51</v>
      </c>
      <c r="N4">
        <v>0.55500000000000005</v>
      </c>
      <c r="O4">
        <f t="shared" si="0"/>
        <v>-0.37</v>
      </c>
      <c r="P4">
        <f t="shared" si="0"/>
        <v>-0.38600000000000001</v>
      </c>
      <c r="Q4">
        <f t="shared" si="0"/>
        <v>-0.35400000000000004</v>
      </c>
    </row>
    <row r="5" spans="1:17" x14ac:dyDescent="0.3">
      <c r="A5" s="1">
        <v>70</v>
      </c>
      <c r="B5" s="3" t="s">
        <v>21</v>
      </c>
      <c r="C5">
        <v>0.32400000000000001</v>
      </c>
      <c r="D5">
        <v>0.316</v>
      </c>
      <c r="E5">
        <v>0.33200000000000002</v>
      </c>
      <c r="F5">
        <v>0.61199999999999999</v>
      </c>
      <c r="G5">
        <v>0.60499999999999998</v>
      </c>
      <c r="H5">
        <v>0.61799999999999999</v>
      </c>
      <c r="I5">
        <v>0.29799999999999999</v>
      </c>
      <c r="J5">
        <v>0.27100000000000002</v>
      </c>
      <c r="K5">
        <v>0.32400000000000001</v>
      </c>
      <c r="L5">
        <v>0.53500000000000003</v>
      </c>
      <c r="M5">
        <v>0.51700000000000002</v>
      </c>
      <c r="N5">
        <v>0.55300000000000005</v>
      </c>
      <c r="O5">
        <f t="shared" si="0"/>
        <v>-0.314</v>
      </c>
      <c r="P5">
        <f t="shared" si="0"/>
        <v>-0.33399999999999996</v>
      </c>
      <c r="Q5">
        <f t="shared" si="0"/>
        <v>-0.29399999999999998</v>
      </c>
    </row>
    <row r="6" spans="1:17" x14ac:dyDescent="0.3">
      <c r="A6" s="3"/>
      <c r="B6" s="3"/>
    </row>
    <row r="7" spans="1:17" x14ac:dyDescent="0.3">
      <c r="A7" s="3"/>
      <c r="B7" s="3"/>
    </row>
    <row r="8" spans="1:17" x14ac:dyDescent="0.3">
      <c r="A8" s="3"/>
      <c r="B8" s="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8985-177C-4F02-A12A-2F8584281D60}">
  <dimension ref="A1:I13"/>
  <sheetViews>
    <sheetView workbookViewId="0">
      <selection activeCell="E17" sqref="E17"/>
    </sheetView>
  </sheetViews>
  <sheetFormatPr defaultRowHeight="14.4" x14ac:dyDescent="0.3"/>
  <cols>
    <col min="7" max="7" width="12.77734375" customWidth="1"/>
  </cols>
  <sheetData>
    <row r="1" spans="1:9" x14ac:dyDescent="0.3">
      <c r="A1" t="s">
        <v>3</v>
      </c>
      <c r="B1" t="s">
        <v>19</v>
      </c>
      <c r="C1" t="s">
        <v>18</v>
      </c>
      <c r="D1" t="s">
        <v>4</v>
      </c>
      <c r="E1" t="s">
        <v>5</v>
      </c>
      <c r="F1" t="s">
        <v>6</v>
      </c>
      <c r="G1" t="s">
        <v>7</v>
      </c>
      <c r="H1" t="s">
        <v>5</v>
      </c>
      <c r="I1" t="s">
        <v>6</v>
      </c>
    </row>
    <row r="2" spans="1:9" x14ac:dyDescent="0.3">
      <c r="A2" t="s">
        <v>22</v>
      </c>
      <c r="B2" s="1">
        <v>60</v>
      </c>
      <c r="C2" s="3" t="s">
        <v>20</v>
      </c>
      <c r="D2">
        <v>0.3</v>
      </c>
      <c r="E2">
        <v>0.29799999999999999</v>
      </c>
      <c r="F2">
        <v>0.30299999999999999</v>
      </c>
      <c r="G2">
        <v>0.77</v>
      </c>
      <c r="H2">
        <v>0.76800000000000002</v>
      </c>
      <c r="I2">
        <v>0.77200000000000002</v>
      </c>
    </row>
    <row r="3" spans="1:9" x14ac:dyDescent="0.3">
      <c r="A3" t="s">
        <v>22</v>
      </c>
      <c r="B3" s="1">
        <v>70</v>
      </c>
      <c r="C3" s="3" t="s">
        <v>20</v>
      </c>
      <c r="D3">
        <v>0.28899999999999998</v>
      </c>
      <c r="E3">
        <v>0.28699999999999998</v>
      </c>
      <c r="F3">
        <v>0.28999999999999998</v>
      </c>
      <c r="G3">
        <v>0.752</v>
      </c>
      <c r="H3">
        <v>0.751</v>
      </c>
      <c r="I3">
        <v>0.754</v>
      </c>
    </row>
    <row r="4" spans="1:9" x14ac:dyDescent="0.3">
      <c r="A4" t="s">
        <v>22</v>
      </c>
      <c r="B4" s="1">
        <v>60</v>
      </c>
      <c r="C4" s="1" t="s">
        <v>21</v>
      </c>
      <c r="D4">
        <v>0.36699999999999999</v>
      </c>
      <c r="E4">
        <v>0.36399999999999999</v>
      </c>
      <c r="F4">
        <v>0.371</v>
      </c>
      <c r="G4">
        <v>0.80300000000000005</v>
      </c>
      <c r="H4">
        <v>0.8</v>
      </c>
      <c r="I4">
        <v>0.80500000000000005</v>
      </c>
    </row>
    <row r="5" spans="1:9" x14ac:dyDescent="0.3">
      <c r="A5" t="s">
        <v>22</v>
      </c>
      <c r="B5" s="1">
        <v>70</v>
      </c>
      <c r="C5" s="3" t="s">
        <v>21</v>
      </c>
      <c r="D5">
        <v>0.35899999999999999</v>
      </c>
      <c r="E5">
        <v>0.35699999999999998</v>
      </c>
      <c r="F5">
        <v>0.36199999999999999</v>
      </c>
      <c r="G5">
        <v>0.79</v>
      </c>
      <c r="H5">
        <v>0.78800000000000003</v>
      </c>
      <c r="I5">
        <v>0.79100000000000004</v>
      </c>
    </row>
    <row r="6" spans="1:9" x14ac:dyDescent="0.3">
      <c r="A6" t="s">
        <v>23</v>
      </c>
      <c r="B6" s="1">
        <v>60</v>
      </c>
      <c r="C6" s="3" t="s">
        <v>20</v>
      </c>
      <c r="D6">
        <v>0.316</v>
      </c>
      <c r="E6">
        <v>0.314</v>
      </c>
      <c r="F6">
        <v>0.318</v>
      </c>
      <c r="G6">
        <v>0.78500000000000003</v>
      </c>
      <c r="H6">
        <v>0.78300000000000003</v>
      </c>
      <c r="I6">
        <v>0.78600000000000003</v>
      </c>
    </row>
    <row r="7" spans="1:9" x14ac:dyDescent="0.3">
      <c r="A7" t="s">
        <v>23</v>
      </c>
      <c r="B7" s="1">
        <v>70</v>
      </c>
      <c r="C7" s="3" t="s">
        <v>20</v>
      </c>
      <c r="D7">
        <v>0.315</v>
      </c>
      <c r="E7">
        <v>0.312</v>
      </c>
      <c r="F7">
        <v>0.317</v>
      </c>
      <c r="G7">
        <v>0.77200000000000002</v>
      </c>
      <c r="H7">
        <v>0.77100000000000002</v>
      </c>
      <c r="I7">
        <v>0.77400000000000002</v>
      </c>
    </row>
    <row r="8" spans="1:9" x14ac:dyDescent="0.3">
      <c r="A8" t="s">
        <v>23</v>
      </c>
      <c r="B8" s="1">
        <v>60</v>
      </c>
      <c r="C8" s="1" t="s">
        <v>21</v>
      </c>
      <c r="D8">
        <v>0.373</v>
      </c>
      <c r="E8">
        <v>0.371</v>
      </c>
      <c r="F8">
        <v>0.375</v>
      </c>
      <c r="G8">
        <v>0.81200000000000006</v>
      </c>
      <c r="H8">
        <v>0.81100000000000005</v>
      </c>
      <c r="I8">
        <v>0.81299999999999994</v>
      </c>
    </row>
    <row r="9" spans="1:9" x14ac:dyDescent="0.3">
      <c r="A9" t="s">
        <v>23</v>
      </c>
      <c r="B9" s="1">
        <v>70</v>
      </c>
      <c r="C9" s="3" t="s">
        <v>21</v>
      </c>
      <c r="D9">
        <v>0.377</v>
      </c>
      <c r="E9">
        <v>0.375</v>
      </c>
      <c r="F9">
        <v>0.38</v>
      </c>
      <c r="G9">
        <v>0.80500000000000005</v>
      </c>
      <c r="H9">
        <v>0.80300000000000005</v>
      </c>
      <c r="I9">
        <v>0.80700000000000005</v>
      </c>
    </row>
    <row r="10" spans="1:9" x14ac:dyDescent="0.3">
      <c r="A10" t="s">
        <v>24</v>
      </c>
      <c r="B10" s="1">
        <v>60</v>
      </c>
      <c r="C10" s="3" t="s">
        <v>20</v>
      </c>
      <c r="D10">
        <v>0.311</v>
      </c>
      <c r="E10">
        <v>0.308</v>
      </c>
      <c r="F10">
        <v>0.314</v>
      </c>
      <c r="G10">
        <v>0.78800000000000003</v>
      </c>
      <c r="H10">
        <v>0.78700000000000003</v>
      </c>
      <c r="I10">
        <v>0.79</v>
      </c>
    </row>
    <row r="11" spans="1:9" x14ac:dyDescent="0.3">
      <c r="A11" t="s">
        <v>24</v>
      </c>
      <c r="B11" s="1">
        <v>70</v>
      </c>
      <c r="C11" s="3" t="s">
        <v>20</v>
      </c>
      <c r="D11">
        <v>0.30099999999999999</v>
      </c>
      <c r="E11">
        <v>0.29799999999999999</v>
      </c>
      <c r="F11">
        <v>0.30299999999999999</v>
      </c>
      <c r="G11">
        <v>0.76900000000000002</v>
      </c>
      <c r="H11">
        <v>0.76800000000000002</v>
      </c>
      <c r="I11">
        <v>0.77100000000000002</v>
      </c>
    </row>
    <row r="12" spans="1:9" x14ac:dyDescent="0.3">
      <c r="A12" t="s">
        <v>24</v>
      </c>
      <c r="B12" s="1">
        <v>60</v>
      </c>
      <c r="C12" s="1" t="s">
        <v>21</v>
      </c>
      <c r="D12">
        <v>0.378</v>
      </c>
      <c r="E12">
        <v>0.375</v>
      </c>
      <c r="F12">
        <v>0.38200000000000001</v>
      </c>
      <c r="G12">
        <v>0.82399999999999995</v>
      </c>
      <c r="H12">
        <v>0.82199999999999995</v>
      </c>
      <c r="I12">
        <v>0.82599999999999996</v>
      </c>
    </row>
    <row r="13" spans="1:9" x14ac:dyDescent="0.3">
      <c r="A13" t="s">
        <v>24</v>
      </c>
      <c r="B13" s="1">
        <v>70</v>
      </c>
      <c r="C13" s="3" t="s">
        <v>21</v>
      </c>
      <c r="D13">
        <v>0.36599999999999999</v>
      </c>
      <c r="E13">
        <v>0.36299999999999999</v>
      </c>
      <c r="F13">
        <v>0.36899999999999999</v>
      </c>
      <c r="G13">
        <v>0.80700000000000005</v>
      </c>
      <c r="H13">
        <v>0.80500000000000005</v>
      </c>
      <c r="I13">
        <v>0.80900000000000005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4D0-5D34-4508-B27A-4A676C2164BF}">
  <dimension ref="A1:S20"/>
  <sheetViews>
    <sheetView workbookViewId="0">
      <selection activeCell="J16" sqref="J16"/>
    </sheetView>
  </sheetViews>
  <sheetFormatPr defaultRowHeight="14.4" x14ac:dyDescent="0.3"/>
  <cols>
    <col min="6" max="6" width="17.21875" customWidth="1"/>
    <col min="9" max="9" width="14.77734375" customWidth="1"/>
    <col min="10" max="10" width="11" customWidth="1"/>
  </cols>
  <sheetData>
    <row r="1" spans="1:19" x14ac:dyDescent="0.3">
      <c r="A1" s="1" t="s">
        <v>19</v>
      </c>
      <c r="B1" s="1" t="s">
        <v>18</v>
      </c>
      <c r="C1" s="1" t="s">
        <v>4</v>
      </c>
      <c r="D1" s="3" t="s">
        <v>5</v>
      </c>
      <c r="E1" s="3" t="s">
        <v>6</v>
      </c>
      <c r="F1" s="3" t="s">
        <v>7</v>
      </c>
      <c r="G1" s="3" t="s">
        <v>5</v>
      </c>
      <c r="H1" s="3" t="s">
        <v>6</v>
      </c>
      <c r="I1" s="3" t="s">
        <v>8</v>
      </c>
      <c r="J1" s="3" t="s">
        <v>5</v>
      </c>
      <c r="K1" s="3" t="s">
        <v>6</v>
      </c>
      <c r="L1" s="3" t="s">
        <v>7</v>
      </c>
      <c r="M1" s="3" t="s">
        <v>5</v>
      </c>
      <c r="N1" s="3" t="s">
        <v>6</v>
      </c>
      <c r="O1" s="1" t="s">
        <v>9</v>
      </c>
      <c r="P1" s="3" t="s">
        <v>5</v>
      </c>
      <c r="Q1" s="3" t="s">
        <v>6</v>
      </c>
      <c r="R1" s="3" t="s">
        <v>16</v>
      </c>
      <c r="S1" s="3" t="s">
        <v>17</v>
      </c>
    </row>
    <row r="2" spans="1:19" x14ac:dyDescent="0.3">
      <c r="A2" s="1">
        <v>0</v>
      </c>
      <c r="B2" s="3" t="s">
        <v>20</v>
      </c>
      <c r="C2" s="3">
        <v>0.29191118900000002</v>
      </c>
      <c r="D2" s="3">
        <v>0.2680444169698184</v>
      </c>
      <c r="E2" s="3">
        <v>0.3157779613236596</v>
      </c>
      <c r="F2">
        <v>0.68779821711868283</v>
      </c>
      <c r="G2">
        <v>0.62746793954399138</v>
      </c>
      <c r="H2">
        <v>0.74812849469337428</v>
      </c>
      <c r="I2" s="1">
        <v>0.27691874438454656</v>
      </c>
      <c r="J2" s="1">
        <v>0.18543031970787999</v>
      </c>
      <c r="K2" s="1">
        <v>0.36840716906121312</v>
      </c>
      <c r="L2">
        <v>0.44791666666666657</v>
      </c>
      <c r="M2">
        <v>0.23389879343635003</v>
      </c>
      <c r="N2">
        <v>0.66193453989698314</v>
      </c>
      <c r="O2">
        <f>I2-F2</f>
        <v>-0.41087947273413628</v>
      </c>
      <c r="P2">
        <f>J2-G2</f>
        <v>-0.4420376198361114</v>
      </c>
      <c r="Q2">
        <f>K2-H2</f>
        <v>-0.37972132563216116</v>
      </c>
      <c r="R2">
        <v>0.20356523352835615</v>
      </c>
      <c r="S2">
        <v>6.1562168271995371E-2</v>
      </c>
    </row>
    <row r="3" spans="1:19" x14ac:dyDescent="0.3">
      <c r="A3" s="3">
        <v>55</v>
      </c>
      <c r="B3" s="3" t="s">
        <v>20</v>
      </c>
      <c r="C3" s="3">
        <v>0.35804810500000001</v>
      </c>
      <c r="D3" s="3">
        <v>0.35311713844527615</v>
      </c>
      <c r="E3" s="3">
        <v>0.36297907179562872</v>
      </c>
      <c r="F3">
        <v>0.70394644939202966</v>
      </c>
      <c r="G3">
        <v>0.68060780965483181</v>
      </c>
      <c r="H3">
        <v>0.72728508912922751</v>
      </c>
      <c r="I3" s="1">
        <v>0.27149502304415807</v>
      </c>
      <c r="J3" s="1">
        <v>0.2460855216038012</v>
      </c>
      <c r="K3" s="1">
        <v>0.29690452448451488</v>
      </c>
      <c r="L3">
        <v>0.57534946236559137</v>
      </c>
      <c r="M3">
        <v>0.48227953103914745</v>
      </c>
      <c r="N3">
        <v>0.66841939369203529</v>
      </c>
      <c r="O3">
        <f t="shared" ref="O3:O11" si="0">I3-F3</f>
        <v>-0.43245142634787159</v>
      </c>
      <c r="P3">
        <f t="shared" ref="P3:P11" si="1">J3-G3</f>
        <v>-0.4345222880510306</v>
      </c>
      <c r="Q3">
        <f t="shared" ref="Q3:Q11" si="2">K3-H3</f>
        <v>-0.43038056464471264</v>
      </c>
      <c r="R3">
        <v>9.7051747142650122E-2</v>
      </c>
      <c r="S3">
        <v>2.3815194036892303E-2</v>
      </c>
    </row>
    <row r="4" spans="1:19" x14ac:dyDescent="0.3">
      <c r="A4" s="3">
        <v>65</v>
      </c>
      <c r="B4" s="3" t="s">
        <v>20</v>
      </c>
      <c r="C4" s="3">
        <v>0.39554986399999997</v>
      </c>
      <c r="D4" s="3">
        <v>0.39216678708509967</v>
      </c>
      <c r="E4" s="3">
        <v>0.39893294166565746</v>
      </c>
      <c r="F4">
        <v>0.70188190591406463</v>
      </c>
      <c r="G4">
        <v>0.69554478800202624</v>
      </c>
      <c r="H4">
        <v>0.70821902382610302</v>
      </c>
      <c r="I4" s="1">
        <v>0.31021648824266612</v>
      </c>
      <c r="J4" s="1">
        <v>0.29170570144582592</v>
      </c>
      <c r="K4" s="1">
        <v>0.32872727503950627</v>
      </c>
      <c r="L4">
        <v>0.53295441519577991</v>
      </c>
      <c r="M4">
        <v>0.49666119105594464</v>
      </c>
      <c r="N4">
        <v>0.56924763933561495</v>
      </c>
      <c r="O4">
        <f t="shared" si="0"/>
        <v>-0.39166541767139851</v>
      </c>
      <c r="P4">
        <f t="shared" si="1"/>
        <v>-0.40383908655620032</v>
      </c>
      <c r="Q4">
        <f t="shared" si="2"/>
        <v>-0.37949174878659675</v>
      </c>
      <c r="R4">
        <v>3.5883034287586255E-2</v>
      </c>
      <c r="S4">
        <v>6.4665162327057282E-3</v>
      </c>
    </row>
    <row r="5" spans="1:19" x14ac:dyDescent="0.3">
      <c r="A5" s="3">
        <v>75</v>
      </c>
      <c r="B5" s="3" t="s">
        <v>20</v>
      </c>
      <c r="C5" s="3">
        <v>0.39290752499999998</v>
      </c>
      <c r="D5" s="3">
        <v>0.38842276055268454</v>
      </c>
      <c r="E5" s="3">
        <v>0.39739228864412257</v>
      </c>
      <c r="F5">
        <v>0.7215200072423309</v>
      </c>
      <c r="G5">
        <v>0.71717626315348015</v>
      </c>
      <c r="H5">
        <v>0.72586375133118142</v>
      </c>
      <c r="I5" s="1">
        <v>0.31811438230299049</v>
      </c>
      <c r="J5" s="1">
        <v>0.29298585646680186</v>
      </c>
      <c r="K5" s="1">
        <v>0.34324290813917907</v>
      </c>
      <c r="L5">
        <v>0.55944933034022792</v>
      </c>
      <c r="M5">
        <v>0.53291049939252155</v>
      </c>
      <c r="N5">
        <v>0.58598816128793429</v>
      </c>
      <c r="O5">
        <f t="shared" si="0"/>
        <v>-0.4034056249393404</v>
      </c>
      <c r="P5">
        <f t="shared" si="1"/>
        <v>-0.42419040668667829</v>
      </c>
      <c r="Q5">
        <f t="shared" si="2"/>
        <v>-0.38262084319200235</v>
      </c>
      <c r="R5">
        <v>2.6268152298360582E-2</v>
      </c>
      <c r="S5">
        <v>4.4324394860813087E-3</v>
      </c>
    </row>
    <row r="6" spans="1:19" x14ac:dyDescent="0.3">
      <c r="A6" s="3">
        <v>85</v>
      </c>
      <c r="B6" s="3" t="s">
        <v>20</v>
      </c>
      <c r="C6" s="3">
        <v>0.39085821300000001</v>
      </c>
      <c r="D6" s="3">
        <v>0.29522629348252655</v>
      </c>
      <c r="E6" s="3">
        <v>0.4864901316382233</v>
      </c>
      <c r="F6">
        <v>0.74972738054332888</v>
      </c>
      <c r="G6">
        <v>0.74678695607230039</v>
      </c>
      <c r="H6">
        <v>0.75266780501435748</v>
      </c>
      <c r="I6" s="1">
        <v>0.26248607748184061</v>
      </c>
      <c r="J6" s="1">
        <v>0.19672632227973752</v>
      </c>
      <c r="K6" s="1">
        <v>0.32824583268394375</v>
      </c>
      <c r="L6">
        <v>0.5963293817945291</v>
      </c>
      <c r="M6">
        <v>0.57725283073912603</v>
      </c>
      <c r="N6">
        <v>0.61540593284993217</v>
      </c>
      <c r="O6">
        <f t="shared" si="0"/>
        <v>-0.48724130306148827</v>
      </c>
      <c r="P6">
        <f t="shared" si="1"/>
        <v>-0.55006063379256287</v>
      </c>
      <c r="Q6">
        <f t="shared" si="2"/>
        <v>-0.42442197233041373</v>
      </c>
      <c r="R6">
        <v>2.0021318965340512E-2</v>
      </c>
      <c r="S6">
        <v>3.0004653277526218E-3</v>
      </c>
    </row>
    <row r="7" spans="1:19" x14ac:dyDescent="0.3">
      <c r="A7" s="3">
        <v>0</v>
      </c>
      <c r="B7" s="1" t="s">
        <v>21</v>
      </c>
      <c r="C7" s="1">
        <v>0.37614094100000001</v>
      </c>
      <c r="D7" s="3">
        <v>0.33258644529561471</v>
      </c>
      <c r="E7" s="3">
        <v>0.41969543681671456</v>
      </c>
      <c r="F7">
        <v>0.77564165102020699</v>
      </c>
      <c r="G7">
        <v>0.77322326333555869</v>
      </c>
      <c r="H7">
        <v>0.77806003870485529</v>
      </c>
      <c r="I7" s="1">
        <v>0.2153794326241138</v>
      </c>
      <c r="J7" s="1">
        <v>7.2167041202168006E-2</v>
      </c>
      <c r="K7" s="1">
        <v>0.3585918240460596</v>
      </c>
      <c r="L7">
        <v>0.65302056269883291</v>
      </c>
      <c r="M7">
        <v>0.63722194483514816</v>
      </c>
      <c r="N7">
        <v>0.66881918056251766</v>
      </c>
      <c r="O7">
        <f t="shared" si="0"/>
        <v>-0.56026221839609325</v>
      </c>
      <c r="P7">
        <f t="shared" si="1"/>
        <v>-0.70105622213339069</v>
      </c>
      <c r="Q7">
        <f t="shared" si="2"/>
        <v>-0.41946821465879569</v>
      </c>
      <c r="R7">
        <v>1.7919195158261049E-2</v>
      </c>
      <c r="S7">
        <v>2.4677690137413699E-3</v>
      </c>
    </row>
    <row r="8" spans="1:19" x14ac:dyDescent="0.3">
      <c r="A8" s="3">
        <v>55</v>
      </c>
      <c r="B8" s="3" t="s">
        <v>21</v>
      </c>
      <c r="C8" s="3">
        <v>0.435169792</v>
      </c>
      <c r="D8" s="3">
        <v>0.42929417904516753</v>
      </c>
      <c r="E8" s="3">
        <v>0.44104540415698112</v>
      </c>
      <c r="F8">
        <v>0.7666387191639108</v>
      </c>
      <c r="G8">
        <v>0.76288429834441152</v>
      </c>
      <c r="H8">
        <v>0.77039313998341008</v>
      </c>
      <c r="I8" s="1">
        <v>0.34369877816497418</v>
      </c>
      <c r="J8" s="1">
        <v>0.3143123211646851</v>
      </c>
      <c r="K8" s="1">
        <v>0.37308523516526326</v>
      </c>
      <c r="L8">
        <v>0.65981270999253328</v>
      </c>
      <c r="M8">
        <v>0.63817778956871296</v>
      </c>
      <c r="N8">
        <v>0.68144763041635348</v>
      </c>
      <c r="O8">
        <f t="shared" si="0"/>
        <v>-0.42293994099893661</v>
      </c>
      <c r="P8">
        <f t="shared" si="1"/>
        <v>-0.44857197717972641</v>
      </c>
      <c r="Q8">
        <f t="shared" si="2"/>
        <v>-0.39730790481814682</v>
      </c>
      <c r="R8">
        <v>2.5535194905653324E-2</v>
      </c>
      <c r="S8">
        <v>3.8310827588643355E-3</v>
      </c>
    </row>
    <row r="9" spans="1:19" x14ac:dyDescent="0.3">
      <c r="A9" s="3">
        <v>65</v>
      </c>
      <c r="B9" s="3" t="s">
        <v>21</v>
      </c>
      <c r="C9" s="3">
        <v>0.46625072299999998</v>
      </c>
      <c r="D9" s="3">
        <v>0.4627145460632579</v>
      </c>
      <c r="E9" s="3">
        <v>0.46978689965207648</v>
      </c>
      <c r="F9">
        <v>0.75399537947644957</v>
      </c>
      <c r="G9">
        <v>0.7491914801134657</v>
      </c>
      <c r="H9">
        <v>0.75879927883943343</v>
      </c>
      <c r="I9" s="1">
        <v>0.36803372514128002</v>
      </c>
      <c r="J9" s="1">
        <v>0.34935623027197338</v>
      </c>
      <c r="K9" s="1">
        <v>0.38671122001058666</v>
      </c>
      <c r="L9">
        <v>0.65113464261302578</v>
      </c>
      <c r="M9">
        <v>0.62334044852394643</v>
      </c>
      <c r="N9">
        <v>0.67892883670210513</v>
      </c>
      <c r="O9">
        <f t="shared" si="0"/>
        <v>-0.38596165433516955</v>
      </c>
      <c r="P9">
        <f t="shared" si="1"/>
        <v>-0.39983524984149232</v>
      </c>
      <c r="Q9">
        <f t="shared" si="2"/>
        <v>-0.37208805882884677</v>
      </c>
      <c r="R9">
        <v>3.3078221681243219E-2</v>
      </c>
      <c r="S9">
        <v>4.9019907223136552E-3</v>
      </c>
    </row>
    <row r="10" spans="1:19" x14ac:dyDescent="0.3">
      <c r="A10" s="3">
        <v>75</v>
      </c>
      <c r="B10" s="3" t="s">
        <v>21</v>
      </c>
      <c r="C10" s="3">
        <v>0.46574808400000001</v>
      </c>
      <c r="D10" s="3">
        <v>0.46064674124083915</v>
      </c>
      <c r="E10" s="3">
        <v>0.47084942721480871</v>
      </c>
      <c r="F10">
        <v>0.75192729552987458</v>
      </c>
      <c r="G10">
        <v>0.67047171593244093</v>
      </c>
      <c r="H10">
        <v>0.83338287512730824</v>
      </c>
      <c r="I10" s="1">
        <v>0.36218353970540701</v>
      </c>
      <c r="J10" s="1">
        <v>0.33732575551176852</v>
      </c>
      <c r="K10" s="1">
        <v>0.3870413238990455</v>
      </c>
      <c r="L10">
        <v>0.31423923444976065</v>
      </c>
      <c r="M10">
        <v>0.30032707130851499</v>
      </c>
      <c r="N10">
        <v>0.32815139759100631</v>
      </c>
      <c r="O10">
        <f t="shared" si="0"/>
        <v>-0.38974375582446757</v>
      </c>
      <c r="P10">
        <f t="shared" si="1"/>
        <v>-0.3331459604206724</v>
      </c>
      <c r="Q10">
        <f t="shared" si="2"/>
        <v>-0.44634155122826275</v>
      </c>
      <c r="R10">
        <v>1.6589922126764588E-2</v>
      </c>
      <c r="S10">
        <v>8.3118830203654598E-2</v>
      </c>
    </row>
    <row r="11" spans="1:19" x14ac:dyDescent="0.3">
      <c r="A11" s="3">
        <v>85</v>
      </c>
      <c r="B11" s="3" t="s">
        <v>21</v>
      </c>
      <c r="C11" s="3">
        <v>0.48240524400000001</v>
      </c>
      <c r="D11" s="3">
        <v>0.34859580156439951</v>
      </c>
      <c r="E11" s="3">
        <v>0.61621468678186242</v>
      </c>
      <c r="F11">
        <v>0.75898749999999993</v>
      </c>
      <c r="G11">
        <v>0.59533005652241699</v>
      </c>
      <c r="H11">
        <v>0.92264494347758297</v>
      </c>
      <c r="I11" s="1">
        <v>0.17638582677165407</v>
      </c>
      <c r="J11" s="1">
        <v>0.16022443459783745</v>
      </c>
      <c r="K11" s="1">
        <v>0.19254721894547069</v>
      </c>
      <c r="L11">
        <v>0.31950000000000001</v>
      </c>
      <c r="M11">
        <v>0.26853115199389688</v>
      </c>
      <c r="N11">
        <v>0.37046884800610314</v>
      </c>
      <c r="O11">
        <f t="shared" si="0"/>
        <v>-0.58260167322834588</v>
      </c>
      <c r="P11">
        <f t="shared" si="1"/>
        <v>-0.43510562192457958</v>
      </c>
      <c r="Q11">
        <f t="shared" si="2"/>
        <v>-0.7300977245321123</v>
      </c>
      <c r="R11">
        <v>5.0500000000000003E-2</v>
      </c>
      <c r="S11">
        <v>0.16699918315240841</v>
      </c>
    </row>
    <row r="15" spans="1:19" x14ac:dyDescent="0.3">
      <c r="A15" s="3"/>
      <c r="B15" s="3"/>
      <c r="C15" s="3"/>
    </row>
    <row r="16" spans="1:19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revision_log_rate</vt:lpstr>
      <vt:lpstr>primary_mortality</vt:lpstr>
      <vt:lpstr>revision_mortality</vt:lpstr>
      <vt:lpstr>UK_lifetables</vt:lpstr>
      <vt:lpstr>primary_success_costs</vt:lpstr>
      <vt:lpstr>revision_success_costs</vt:lpstr>
      <vt:lpstr>rerevision_success_costs</vt:lpstr>
      <vt:lpstr>primary_unsuccess_costs</vt:lpstr>
      <vt:lpstr>revision_unsuccess_costs</vt:lpstr>
      <vt:lpstr>rerevision_unsuccess_costs</vt:lpstr>
      <vt:lpstr>utilities_revision</vt:lpstr>
      <vt:lpstr>utilities_primary</vt:lpstr>
      <vt:lpstr>utilities_unadjusted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Xu</dc:creator>
  <cp:lastModifiedBy>Yixin Xu</cp:lastModifiedBy>
  <dcterms:created xsi:type="dcterms:W3CDTF">2022-02-02T22:04:59Z</dcterms:created>
  <dcterms:modified xsi:type="dcterms:W3CDTF">2026-09-10T13:47:14Z</dcterms:modified>
</cp:coreProperties>
</file>